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yan\portfolio\"/>
    </mc:Choice>
  </mc:AlternateContent>
  <xr:revisionPtr revIDLastSave="0" documentId="13_ncr:1_{334F7416-03D2-4A9A-836C-C67C2C05A247}" xr6:coauthVersionLast="47" xr6:coauthVersionMax="47" xr10:uidLastSave="{00000000-0000-0000-0000-000000000000}"/>
  <bookViews>
    <workbookView xWindow="-108" yWindow="-108" windowWidth="23256" windowHeight="12456" tabRatio="804" firstSheet="22" activeTab="32" xr2:uid="{00000000-000D-0000-FFFF-FFFF00000000}"/>
  </bookViews>
  <sheets>
    <sheet name="20221207" sheetId="1" r:id="rId1"/>
    <sheet name="20230109" sheetId="2" r:id="rId2"/>
    <sheet name="20230208" sheetId="3" r:id="rId3"/>
    <sheet name="20230306" sheetId="4" r:id="rId4"/>
    <sheet name="20230407" sheetId="5" r:id="rId5"/>
    <sheet name="20230508" sheetId="6" r:id="rId6"/>
    <sheet name="20230608" sheetId="7" r:id="rId7"/>
    <sheet name="20230707" sheetId="8" r:id="rId8"/>
    <sheet name="20230808" sheetId="9" r:id="rId9"/>
    <sheet name="20230907" sheetId="10" r:id="rId10"/>
    <sheet name="20231006" sheetId="11" r:id="rId11"/>
    <sheet name="20231107" sheetId="12" r:id="rId12"/>
    <sheet name="20231207" sheetId="13" r:id="rId13"/>
    <sheet name="20240109" sheetId="14" r:id="rId14"/>
    <sheet name="20240205" sheetId="15" r:id="rId15"/>
    <sheet name="20240314" sheetId="16" r:id="rId16"/>
    <sheet name="20240409" sheetId="17" r:id="rId17"/>
    <sheet name="20240507" sheetId="18" r:id="rId18"/>
    <sheet name="20240607" sheetId="19" r:id="rId19"/>
    <sheet name="20240708" sheetId="20" r:id="rId20"/>
    <sheet name="20240807" sheetId="21" r:id="rId21"/>
    <sheet name="20240909" sheetId="22" r:id="rId22"/>
    <sheet name="20241008" sheetId="23" r:id="rId23"/>
    <sheet name="20241107" sheetId="24" r:id="rId24"/>
    <sheet name="20241209" sheetId="25" r:id="rId25"/>
    <sheet name="20250106" sheetId="26" r:id="rId26"/>
    <sheet name="20250207" sheetId="27" r:id="rId27"/>
    <sheet name="20250307" sheetId="28" r:id="rId28"/>
    <sheet name="20250408" sheetId="29" r:id="rId29"/>
    <sheet name="20250507" sheetId="30" r:id="rId30"/>
    <sheet name="20250616" sheetId="31" r:id="rId31"/>
    <sheet name="20250708" sheetId="32" r:id="rId32"/>
    <sheet name="Summary" sheetId="33" r:id="rId3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33" l="1"/>
  <c r="H13" i="31"/>
  <c r="H8" i="32" l="1"/>
  <c r="K7" i="32"/>
  <c r="J7" i="32"/>
  <c r="I7" i="32"/>
  <c r="H7" i="32"/>
  <c r="E13" i="32"/>
  <c r="E14" i="32" s="1"/>
  <c r="D13" i="32"/>
  <c r="D14" i="32" s="1"/>
  <c r="C13" i="32"/>
  <c r="C14" i="32" s="1"/>
  <c r="B13" i="32"/>
  <c r="B11" i="32" s="1"/>
  <c r="B10" i="32" s="1"/>
  <c r="E13" i="31"/>
  <c r="E14" i="31" s="1"/>
  <c r="D13" i="31"/>
  <c r="D14" i="31" s="1"/>
  <c r="C13" i="31"/>
  <c r="C14" i="31" s="1"/>
  <c r="B13" i="31"/>
  <c r="B14" i="31" s="1"/>
  <c r="E11" i="31"/>
  <c r="K9" i="31" s="1"/>
  <c r="D11" i="31"/>
  <c r="J9" i="31" s="1"/>
  <c r="C11" i="31"/>
  <c r="I8" i="31" s="1"/>
  <c r="K7" i="31"/>
  <c r="J7" i="31"/>
  <c r="I7" i="31"/>
  <c r="H7" i="31"/>
  <c r="E13" i="30"/>
  <c r="E14" i="30" s="1"/>
  <c r="D13" i="30"/>
  <c r="D14" i="30" s="1"/>
  <c r="C13" i="30"/>
  <c r="C14" i="30" s="1"/>
  <c r="B13" i="30"/>
  <c r="B14" i="30" s="1"/>
  <c r="K7" i="30"/>
  <c r="J7" i="30"/>
  <c r="I7" i="30"/>
  <c r="H7" i="30"/>
  <c r="E14" i="29"/>
  <c r="D14" i="29"/>
  <c r="C14" i="29"/>
  <c r="B14" i="29"/>
  <c r="E11" i="29"/>
  <c r="D11" i="29"/>
  <c r="C11" i="29"/>
  <c r="B11" i="29"/>
  <c r="H9" i="29" s="1"/>
  <c r="L9" i="29" s="1"/>
  <c r="E10" i="29"/>
  <c r="D10" i="29"/>
  <c r="C10" i="29"/>
  <c r="B10" i="29"/>
  <c r="K9" i="29"/>
  <c r="J9" i="29"/>
  <c r="I9" i="29"/>
  <c r="K8" i="29"/>
  <c r="J8" i="29"/>
  <c r="I8" i="29"/>
  <c r="K7" i="29"/>
  <c r="J7" i="29"/>
  <c r="I7" i="29"/>
  <c r="H7" i="29"/>
  <c r="L7" i="29" s="1"/>
  <c r="E13" i="28"/>
  <c r="E14" i="28" s="1"/>
  <c r="D13" i="28"/>
  <c r="D14" i="28" s="1"/>
  <c r="C13" i="28"/>
  <c r="C14" i="28" s="1"/>
  <c r="B13" i="28"/>
  <c r="B14" i="28" s="1"/>
  <c r="E11" i="28"/>
  <c r="K9" i="28" s="1"/>
  <c r="D11" i="28"/>
  <c r="J9" i="28" s="1"/>
  <c r="K7" i="28"/>
  <c r="J7" i="28"/>
  <c r="I7" i="28"/>
  <c r="H7" i="28"/>
  <c r="L7" i="28" s="1"/>
  <c r="E13" i="27"/>
  <c r="E14" i="27" s="1"/>
  <c r="D13" i="27"/>
  <c r="D14" i="27" s="1"/>
  <c r="C13" i="27"/>
  <c r="C14" i="27" s="1"/>
  <c r="B13" i="27"/>
  <c r="B14" i="27" s="1"/>
  <c r="E11" i="27"/>
  <c r="E10" i="27" s="1"/>
  <c r="K9" i="27"/>
  <c r="K8" i="27"/>
  <c r="K7" i="27"/>
  <c r="J7" i="27"/>
  <c r="I7" i="27"/>
  <c r="H7" i="27"/>
  <c r="E13" i="26"/>
  <c r="E14" i="26" s="1"/>
  <c r="D13" i="26"/>
  <c r="D14" i="26" s="1"/>
  <c r="C13" i="26"/>
  <c r="C14" i="26" s="1"/>
  <c r="B13" i="26"/>
  <c r="B11" i="26" s="1"/>
  <c r="D11" i="26"/>
  <c r="J8" i="26" s="1"/>
  <c r="C11" i="26"/>
  <c r="I8" i="26" s="1"/>
  <c r="D10" i="26"/>
  <c r="C10" i="26"/>
  <c r="J9" i="26"/>
  <c r="I9" i="26"/>
  <c r="K7" i="26"/>
  <c r="J7" i="26"/>
  <c r="I7" i="26"/>
  <c r="H7" i="26"/>
  <c r="E13" i="25"/>
  <c r="E14" i="25" s="1"/>
  <c r="D13" i="25"/>
  <c r="D14" i="25" s="1"/>
  <c r="C13" i="25"/>
  <c r="C14" i="25" s="1"/>
  <c r="B13" i="25"/>
  <c r="B14" i="25" s="1"/>
  <c r="D11" i="25"/>
  <c r="J9" i="25" s="1"/>
  <c r="C11" i="25"/>
  <c r="H13" i="25" s="1"/>
  <c r="B11" i="25"/>
  <c r="H8" i="25" s="1"/>
  <c r="D10" i="25"/>
  <c r="C10" i="25"/>
  <c r="K7" i="25"/>
  <c r="J7" i="25"/>
  <c r="I7" i="25"/>
  <c r="H7" i="25"/>
  <c r="E13" i="24"/>
  <c r="E14" i="24" s="1"/>
  <c r="D13" i="24"/>
  <c r="D14" i="24" s="1"/>
  <c r="C13" i="24"/>
  <c r="C14" i="24" s="1"/>
  <c r="B13" i="24"/>
  <c r="B14" i="24" s="1"/>
  <c r="E11" i="24"/>
  <c r="K9" i="24" s="1"/>
  <c r="D11" i="24"/>
  <c r="J9" i="24" s="1"/>
  <c r="K7" i="24"/>
  <c r="J7" i="24"/>
  <c r="I7" i="24"/>
  <c r="H7" i="24"/>
  <c r="L7" i="24" s="1"/>
  <c r="E13" i="23"/>
  <c r="E14" i="23" s="1"/>
  <c r="D13" i="23"/>
  <c r="D14" i="23" s="1"/>
  <c r="C13" i="23"/>
  <c r="C14" i="23" s="1"/>
  <c r="B13" i="23"/>
  <c r="B14" i="23" s="1"/>
  <c r="D11" i="23"/>
  <c r="D10" i="23" s="1"/>
  <c r="B11" i="23"/>
  <c r="B10" i="23"/>
  <c r="J9" i="23"/>
  <c r="H9" i="23"/>
  <c r="J8" i="23"/>
  <c r="H8" i="23"/>
  <c r="K7" i="23"/>
  <c r="J7" i="23"/>
  <c r="I7" i="23"/>
  <c r="H7" i="23"/>
  <c r="H15" i="22"/>
  <c r="E13" i="22"/>
  <c r="D13" i="22"/>
  <c r="D14" i="22" s="1"/>
  <c r="C13" i="22"/>
  <c r="C14" i="22" s="1"/>
  <c r="B13" i="22"/>
  <c r="B14" i="22" s="1"/>
  <c r="E12" i="22"/>
  <c r="D12" i="22"/>
  <c r="C12" i="22"/>
  <c r="B12" i="22"/>
  <c r="B11" i="22" s="1"/>
  <c r="E11" i="22"/>
  <c r="K9" i="22" s="1"/>
  <c r="D11" i="22"/>
  <c r="J9" i="22" s="1"/>
  <c r="C11" i="22"/>
  <c r="H13" i="22" s="1"/>
  <c r="K7" i="22"/>
  <c r="J7" i="22"/>
  <c r="I7" i="22"/>
  <c r="H7" i="22"/>
  <c r="K3" i="22"/>
  <c r="E10" i="22" s="1"/>
  <c r="D14" i="21"/>
  <c r="E13" i="21"/>
  <c r="E14" i="21" s="1"/>
  <c r="D13" i="21"/>
  <c r="C13" i="21"/>
  <c r="C14" i="21" s="1"/>
  <c r="B13" i="21"/>
  <c r="B14" i="21" s="1"/>
  <c r="E12" i="21"/>
  <c r="E11" i="21" s="1"/>
  <c r="D12" i="21"/>
  <c r="D11" i="21" s="1"/>
  <c r="C12" i="21"/>
  <c r="C11" i="21" s="1"/>
  <c r="B12" i="21"/>
  <c r="B11" i="21"/>
  <c r="H9" i="21" s="1"/>
  <c r="B10" i="21"/>
  <c r="K7" i="21"/>
  <c r="J7" i="21"/>
  <c r="I7" i="21"/>
  <c r="H7" i="21"/>
  <c r="L7" i="21" s="1"/>
  <c r="H13" i="20"/>
  <c r="E13" i="20"/>
  <c r="E14" i="20" s="1"/>
  <c r="D13" i="20"/>
  <c r="D14" i="20" s="1"/>
  <c r="C13" i="20"/>
  <c r="C14" i="20" s="1"/>
  <c r="B13" i="20"/>
  <c r="B14" i="20" s="1"/>
  <c r="E12" i="20"/>
  <c r="E11" i="20" s="1"/>
  <c r="D12" i="20"/>
  <c r="D11" i="20" s="1"/>
  <c r="C12" i="20"/>
  <c r="B12" i="20"/>
  <c r="K7" i="20"/>
  <c r="J7" i="20"/>
  <c r="I7" i="20"/>
  <c r="H7" i="20"/>
  <c r="L7" i="20" s="1"/>
  <c r="E14" i="19"/>
  <c r="C14" i="19"/>
  <c r="H13" i="19"/>
  <c r="E13" i="19"/>
  <c r="D13" i="19"/>
  <c r="D14" i="19" s="1"/>
  <c r="C13" i="19"/>
  <c r="B13" i="19"/>
  <c r="B14" i="19" s="1"/>
  <c r="E12" i="19"/>
  <c r="D12" i="19"/>
  <c r="C12" i="19"/>
  <c r="B12" i="19"/>
  <c r="E11" i="19"/>
  <c r="K8" i="19" s="1"/>
  <c r="D11" i="19"/>
  <c r="J9" i="19" s="1"/>
  <c r="C11" i="19"/>
  <c r="I9" i="19" s="1"/>
  <c r="E10" i="19"/>
  <c r="D10" i="19"/>
  <c r="C10" i="19"/>
  <c r="K9" i="19"/>
  <c r="K7" i="19"/>
  <c r="J7" i="19"/>
  <c r="I7" i="19"/>
  <c r="H7" i="19"/>
  <c r="L7" i="19" s="1"/>
  <c r="E13" i="18"/>
  <c r="E14" i="18" s="1"/>
  <c r="D13" i="18"/>
  <c r="D14" i="18" s="1"/>
  <c r="C13" i="18"/>
  <c r="C14" i="18" s="1"/>
  <c r="B13" i="18"/>
  <c r="B14" i="18" s="1"/>
  <c r="E12" i="18"/>
  <c r="D12" i="18"/>
  <c r="D11" i="18" s="1"/>
  <c r="C12" i="18"/>
  <c r="C11" i="18" s="1"/>
  <c r="B12" i="18"/>
  <c r="B11" i="18" s="1"/>
  <c r="E11" i="18"/>
  <c r="K9" i="18" s="1"/>
  <c r="K7" i="18"/>
  <c r="J7" i="18"/>
  <c r="I7" i="18"/>
  <c r="H7" i="18"/>
  <c r="L7" i="18" s="1"/>
  <c r="E14" i="17"/>
  <c r="D14" i="17"/>
  <c r="C14" i="17"/>
  <c r="B14" i="17"/>
  <c r="E11" i="17"/>
  <c r="E10" i="17" s="1"/>
  <c r="D11" i="17"/>
  <c r="C11" i="17"/>
  <c r="C10" i="17" s="1"/>
  <c r="B11" i="17"/>
  <c r="B10" i="17" s="1"/>
  <c r="D10" i="17"/>
  <c r="K8" i="17"/>
  <c r="I8" i="17"/>
  <c r="H8" i="17"/>
  <c r="K7" i="17"/>
  <c r="J7" i="17"/>
  <c r="I7" i="17"/>
  <c r="H7" i="17"/>
  <c r="E14" i="16"/>
  <c r="D14" i="16"/>
  <c r="C14" i="16"/>
  <c r="B14" i="16"/>
  <c r="E11" i="16"/>
  <c r="E10" i="16" s="1"/>
  <c r="D11" i="16"/>
  <c r="D10" i="16" s="1"/>
  <c r="C11" i="16"/>
  <c r="B11" i="16"/>
  <c r="C10" i="16"/>
  <c r="B10" i="16"/>
  <c r="K9" i="16"/>
  <c r="J9" i="16"/>
  <c r="I9" i="16"/>
  <c r="K8" i="16"/>
  <c r="J8" i="16"/>
  <c r="I8" i="16"/>
  <c r="K7" i="16"/>
  <c r="J7" i="16"/>
  <c r="I7" i="16"/>
  <c r="H7" i="16"/>
  <c r="H15" i="15"/>
  <c r="E14" i="15"/>
  <c r="D14" i="15"/>
  <c r="C14" i="15"/>
  <c r="B14" i="15"/>
  <c r="E11" i="15"/>
  <c r="D11" i="15"/>
  <c r="C11" i="15"/>
  <c r="I8" i="15" s="1"/>
  <c r="B11" i="15"/>
  <c r="H8" i="15" s="1"/>
  <c r="E10" i="15"/>
  <c r="D10" i="15"/>
  <c r="C10" i="15"/>
  <c r="B10" i="15"/>
  <c r="K9" i="15"/>
  <c r="J9" i="15"/>
  <c r="K8" i="15"/>
  <c r="J8" i="15"/>
  <c r="K7" i="15"/>
  <c r="J7" i="15"/>
  <c r="I7" i="15"/>
  <c r="H7" i="15"/>
  <c r="L7" i="15" s="1"/>
  <c r="H15" i="14"/>
  <c r="E14" i="14"/>
  <c r="D14" i="14"/>
  <c r="C14" i="14"/>
  <c r="B14" i="14"/>
  <c r="E11" i="14"/>
  <c r="K9" i="14" s="1"/>
  <c r="D11" i="14"/>
  <c r="J9" i="14" s="1"/>
  <c r="C11" i="14"/>
  <c r="I9" i="14" s="1"/>
  <c r="B11" i="14"/>
  <c r="H9" i="14" s="1"/>
  <c r="K7" i="14"/>
  <c r="J7" i="14"/>
  <c r="I7" i="14"/>
  <c r="H7" i="14"/>
  <c r="L7" i="14" s="1"/>
  <c r="E14" i="13"/>
  <c r="D14" i="13"/>
  <c r="C14" i="13"/>
  <c r="B14" i="13"/>
  <c r="E11" i="13"/>
  <c r="E10" i="13" s="1"/>
  <c r="D11" i="13"/>
  <c r="J9" i="13" s="1"/>
  <c r="C11" i="13"/>
  <c r="C10" i="13" s="1"/>
  <c r="B11" i="13"/>
  <c r="B10" i="13" s="1"/>
  <c r="D10" i="13"/>
  <c r="I9" i="13"/>
  <c r="H9" i="13"/>
  <c r="K8" i="13"/>
  <c r="I8" i="13"/>
  <c r="H8" i="13"/>
  <c r="K7" i="13"/>
  <c r="J7" i="13"/>
  <c r="I7" i="13"/>
  <c r="H7" i="13"/>
  <c r="H15" i="12"/>
  <c r="H16" i="13" s="1"/>
  <c r="H16" i="14" s="1"/>
  <c r="H16" i="15" s="1"/>
  <c r="H16" i="16" s="1"/>
  <c r="H16" i="17" s="1"/>
  <c r="H16" i="18" s="1"/>
  <c r="H16" i="19" s="1"/>
  <c r="H16" i="20" s="1"/>
  <c r="H16" i="21" s="1"/>
  <c r="H16" i="22" s="1"/>
  <c r="H16" i="23" s="1"/>
  <c r="H16" i="24" s="1"/>
  <c r="H16" i="25" s="1"/>
  <c r="H16" i="26" s="1"/>
  <c r="H16" i="27" s="1"/>
  <c r="H16" i="28" s="1"/>
  <c r="H16" i="29" s="1"/>
  <c r="H16" i="30" s="1"/>
  <c r="H16" i="31" s="1"/>
  <c r="H16" i="32" s="1"/>
  <c r="E14" i="12"/>
  <c r="D14" i="12"/>
  <c r="C14" i="12"/>
  <c r="B14" i="12"/>
  <c r="E11" i="12"/>
  <c r="D11" i="12"/>
  <c r="C11" i="12"/>
  <c r="B11" i="12"/>
  <c r="H9" i="12" s="1"/>
  <c r="E10" i="12"/>
  <c r="D10" i="12"/>
  <c r="C10" i="12"/>
  <c r="B10" i="12"/>
  <c r="K9" i="12"/>
  <c r="J9" i="12"/>
  <c r="I9" i="12"/>
  <c r="K8" i="12"/>
  <c r="J8" i="12"/>
  <c r="I8" i="12"/>
  <c r="K7" i="12"/>
  <c r="J7" i="12"/>
  <c r="I7" i="12"/>
  <c r="H7" i="12"/>
  <c r="E14" i="11"/>
  <c r="D14" i="11"/>
  <c r="C14" i="11"/>
  <c r="B14" i="11"/>
  <c r="E11" i="11"/>
  <c r="E10" i="11" s="1"/>
  <c r="D11" i="11"/>
  <c r="J8" i="11" s="1"/>
  <c r="C11" i="11"/>
  <c r="I9" i="11" s="1"/>
  <c r="B11" i="11"/>
  <c r="H8" i="11" s="1"/>
  <c r="D10" i="11"/>
  <c r="C10" i="11"/>
  <c r="B10" i="11"/>
  <c r="J9" i="11"/>
  <c r="H9" i="11"/>
  <c r="K7" i="11"/>
  <c r="J7" i="11"/>
  <c r="I7" i="11"/>
  <c r="H7" i="11"/>
  <c r="L7" i="11" s="1"/>
  <c r="H15" i="10"/>
  <c r="H15" i="11" s="1"/>
  <c r="E14" i="10"/>
  <c r="D14" i="10"/>
  <c r="C14" i="10"/>
  <c r="B14" i="10"/>
  <c r="E11" i="10"/>
  <c r="K8" i="10" s="1"/>
  <c r="D11" i="10"/>
  <c r="J8" i="10" s="1"/>
  <c r="C11" i="10"/>
  <c r="I9" i="10" s="1"/>
  <c r="B11" i="10"/>
  <c r="H9" i="10" s="1"/>
  <c r="K7" i="10"/>
  <c r="J7" i="10"/>
  <c r="I7" i="10"/>
  <c r="H7" i="10"/>
  <c r="L7" i="10" s="1"/>
  <c r="E14" i="9"/>
  <c r="D14" i="9"/>
  <c r="C14" i="9"/>
  <c r="B14" i="9"/>
  <c r="E11" i="9"/>
  <c r="K9" i="9" s="1"/>
  <c r="D11" i="9"/>
  <c r="J8" i="9" s="1"/>
  <c r="C11" i="9"/>
  <c r="I9" i="9" s="1"/>
  <c r="B11" i="9"/>
  <c r="B10" i="9" s="1"/>
  <c r="H8" i="9"/>
  <c r="K7" i="9"/>
  <c r="J7" i="9"/>
  <c r="I7" i="9"/>
  <c r="H7" i="9"/>
  <c r="E14" i="8"/>
  <c r="D14" i="8"/>
  <c r="C14" i="8"/>
  <c r="B14" i="8"/>
  <c r="H13" i="8"/>
  <c r="H14" i="8" s="1"/>
  <c r="E11" i="8"/>
  <c r="K9" i="8" s="1"/>
  <c r="D11" i="8"/>
  <c r="D10" i="8" s="1"/>
  <c r="C11" i="8"/>
  <c r="I9" i="8" s="1"/>
  <c r="B11" i="8"/>
  <c r="H8" i="8" s="1"/>
  <c r="E10" i="8"/>
  <c r="J9" i="8"/>
  <c r="K8" i="8"/>
  <c r="J8" i="8"/>
  <c r="K7" i="8"/>
  <c r="J7" i="8"/>
  <c r="I7" i="8"/>
  <c r="H7" i="8"/>
  <c r="E14" i="7"/>
  <c r="D14" i="7"/>
  <c r="C14" i="7"/>
  <c r="B14" i="7"/>
  <c r="E11" i="7"/>
  <c r="E10" i="7" s="1"/>
  <c r="D11" i="7"/>
  <c r="J9" i="7" s="1"/>
  <c r="C11" i="7"/>
  <c r="I8" i="7" s="1"/>
  <c r="B11" i="7"/>
  <c r="H9" i="7" s="1"/>
  <c r="K9" i="7"/>
  <c r="I9" i="7"/>
  <c r="K8" i="7"/>
  <c r="J8" i="7"/>
  <c r="K7" i="7"/>
  <c r="J7" i="7"/>
  <c r="I7" i="7"/>
  <c r="H7" i="7"/>
  <c r="E14" i="6"/>
  <c r="D14" i="6"/>
  <c r="C14" i="6"/>
  <c r="B14" i="6"/>
  <c r="E11" i="6"/>
  <c r="E10" i="6" s="1"/>
  <c r="D11" i="6"/>
  <c r="J8" i="6" s="1"/>
  <c r="C11" i="6"/>
  <c r="B11" i="6"/>
  <c r="C10" i="6"/>
  <c r="B10" i="6"/>
  <c r="I9" i="6"/>
  <c r="H9" i="6"/>
  <c r="I8" i="6"/>
  <c r="H8" i="6"/>
  <c r="K7" i="6"/>
  <c r="J7" i="6"/>
  <c r="I7" i="6"/>
  <c r="H7" i="6"/>
  <c r="E14" i="5"/>
  <c r="D14" i="5"/>
  <c r="C14" i="5"/>
  <c r="B14" i="5"/>
  <c r="E11" i="5"/>
  <c r="D11" i="5"/>
  <c r="C11" i="5"/>
  <c r="B11" i="5"/>
  <c r="H9" i="5" s="1"/>
  <c r="E10" i="5"/>
  <c r="D10" i="5"/>
  <c r="C10" i="5"/>
  <c r="J9" i="5"/>
  <c r="I9" i="5"/>
  <c r="J8" i="5"/>
  <c r="I8" i="5"/>
  <c r="K7" i="5"/>
  <c r="J7" i="5"/>
  <c r="I7" i="5"/>
  <c r="H7" i="5"/>
  <c r="E14" i="4"/>
  <c r="D14" i="4"/>
  <c r="C14" i="4"/>
  <c r="B14" i="4"/>
  <c r="E11" i="4"/>
  <c r="D11" i="4"/>
  <c r="C11" i="4"/>
  <c r="I9" i="4" s="1"/>
  <c r="B11" i="4"/>
  <c r="H8" i="4" s="1"/>
  <c r="E10" i="4"/>
  <c r="D10" i="4"/>
  <c r="C10" i="4"/>
  <c r="J9" i="4"/>
  <c r="H9" i="4"/>
  <c r="J8" i="4"/>
  <c r="I8" i="4"/>
  <c r="K7" i="4"/>
  <c r="J7" i="4"/>
  <c r="I7" i="4"/>
  <c r="H7" i="4"/>
  <c r="E14" i="3"/>
  <c r="D14" i="3"/>
  <c r="C14" i="3"/>
  <c r="B14" i="3"/>
  <c r="E11" i="3"/>
  <c r="D11" i="3"/>
  <c r="J9" i="3" s="1"/>
  <c r="C11" i="3"/>
  <c r="I8" i="3" s="1"/>
  <c r="B11" i="3"/>
  <c r="B10" i="3" s="1"/>
  <c r="E10" i="3"/>
  <c r="D10" i="3"/>
  <c r="C10" i="3"/>
  <c r="K9" i="3"/>
  <c r="I9" i="3"/>
  <c r="H9" i="3"/>
  <c r="K8" i="3"/>
  <c r="K7" i="3"/>
  <c r="J7" i="3"/>
  <c r="I7" i="3"/>
  <c r="H7" i="3"/>
  <c r="E14" i="2"/>
  <c r="D14" i="2"/>
  <c r="C14" i="2"/>
  <c r="B14" i="2"/>
  <c r="E11" i="2"/>
  <c r="K9" i="2" s="1"/>
  <c r="D11" i="2"/>
  <c r="C11" i="2"/>
  <c r="I8" i="2" s="1"/>
  <c r="B11" i="2"/>
  <c r="B10" i="2" s="1"/>
  <c r="D10" i="2"/>
  <c r="C10" i="2"/>
  <c r="I9" i="2"/>
  <c r="K7" i="2"/>
  <c r="J7" i="2"/>
  <c r="I7" i="2"/>
  <c r="H7" i="2"/>
  <c r="E14" i="1"/>
  <c r="D14" i="1"/>
  <c r="C14" i="1"/>
  <c r="B14" i="1"/>
  <c r="E11" i="1"/>
  <c r="K8" i="1" s="1"/>
  <c r="D11" i="1"/>
  <c r="D10" i="1" s="1"/>
  <c r="C11" i="1"/>
  <c r="C10" i="1" s="1"/>
  <c r="B11" i="1"/>
  <c r="H9" i="1" s="1"/>
  <c r="E10" i="1"/>
  <c r="M8" i="1"/>
  <c r="M7" i="2" s="1"/>
  <c r="M8" i="2" s="1"/>
  <c r="K7" i="1"/>
  <c r="J7" i="1"/>
  <c r="I7" i="1"/>
  <c r="H7" i="1"/>
  <c r="L7" i="1" s="1"/>
  <c r="N7" i="1" s="1"/>
  <c r="B29" i="33" a="1"/>
  <c r="B5" i="33" a="1"/>
  <c r="B3" i="33" a="1"/>
  <c r="B6" i="33" a="1"/>
  <c r="B2" i="33" a="1"/>
  <c r="B28" i="33" a="1"/>
  <c r="B25" i="33" a="1"/>
  <c r="B15" i="33" a="1"/>
  <c r="B24" i="33" a="1"/>
  <c r="B23" i="33" a="1"/>
  <c r="B13" i="33" a="1"/>
  <c r="B22" i="33" a="1"/>
  <c r="B21" i="33" a="1"/>
  <c r="B20" i="33" a="1"/>
  <c r="B16" i="33" a="1"/>
  <c r="B14" i="33" a="1"/>
  <c r="B4" i="33" a="1"/>
  <c r="B12" i="33" a="1"/>
  <c r="B18" i="33" a="1"/>
  <c r="B17" i="33" a="1"/>
  <c r="B27" i="33" a="1"/>
  <c r="B26" i="33" a="1"/>
  <c r="B10" i="33" a="1"/>
  <c r="B7" i="33" a="1"/>
  <c r="B30" i="33" a="1"/>
  <c r="B32" i="33" a="1"/>
  <c r="B11" i="33" a="1"/>
  <c r="B31" i="33" a="1"/>
  <c r="B9" i="33" a="1"/>
  <c r="B19" i="33" a="1"/>
  <c r="B8" i="33" a="1"/>
  <c r="B33" i="33" a="1"/>
  <c r="B14" i="33" l="1"/>
  <c r="B16" i="33"/>
  <c r="B17" i="33"/>
  <c r="B18" i="33"/>
  <c r="B20" i="33"/>
  <c r="B21" i="33"/>
  <c r="B12" i="33"/>
  <c r="B22" i="33"/>
  <c r="B13" i="33"/>
  <c r="B23" i="33"/>
  <c r="B24" i="33"/>
  <c r="B15" i="33"/>
  <c r="B29" i="33"/>
  <c r="B19" i="33"/>
  <c r="B31" i="33"/>
  <c r="B11" i="33"/>
  <c r="B32" i="33"/>
  <c r="B25" i="33"/>
  <c r="B26" i="33"/>
  <c r="B27" i="33"/>
  <c r="B28" i="33"/>
  <c r="B30" i="33"/>
  <c r="B33" i="33"/>
  <c r="B10" i="33"/>
  <c r="B6" i="33"/>
  <c r="B3" i="33"/>
  <c r="B5" i="33"/>
  <c r="B8" i="33"/>
  <c r="B9" i="33"/>
  <c r="B7" i="33"/>
  <c r="B4" i="33"/>
  <c r="B2" i="33"/>
  <c r="I9" i="18"/>
  <c r="I8" i="18"/>
  <c r="C10" i="18"/>
  <c r="E10" i="20"/>
  <c r="K8" i="20"/>
  <c r="K9" i="20"/>
  <c r="H9" i="18"/>
  <c r="H8" i="18"/>
  <c r="B10" i="18"/>
  <c r="D10" i="20"/>
  <c r="J8" i="20"/>
  <c r="J9" i="20"/>
  <c r="H9" i="22"/>
  <c r="L9" i="22" s="1"/>
  <c r="M9" i="22" s="1"/>
  <c r="H8" i="22"/>
  <c r="L8" i="22" s="1"/>
  <c r="B10" i="22"/>
  <c r="C10" i="21"/>
  <c r="I9" i="21"/>
  <c r="I8" i="21"/>
  <c r="D10" i="21"/>
  <c r="J9" i="21"/>
  <c r="J8" i="21"/>
  <c r="E10" i="21"/>
  <c r="K8" i="21"/>
  <c r="K9" i="21"/>
  <c r="L9" i="21"/>
  <c r="I8" i="1"/>
  <c r="B11" i="20"/>
  <c r="H8" i="21"/>
  <c r="L8" i="21" s="1"/>
  <c r="J8" i="25"/>
  <c r="H8" i="29"/>
  <c r="L8" i="29" s="1"/>
  <c r="C11" i="30"/>
  <c r="H8" i="2"/>
  <c r="L8" i="2" s="1"/>
  <c r="D9" i="2" s="1"/>
  <c r="C10" i="9"/>
  <c r="K9" i="10"/>
  <c r="B10" i="14"/>
  <c r="J8" i="19"/>
  <c r="E11" i="23"/>
  <c r="D10" i="24"/>
  <c r="H9" i="25"/>
  <c r="D10" i="28"/>
  <c r="D11" i="30"/>
  <c r="C10" i="31"/>
  <c r="J9" i="6"/>
  <c r="L9" i="6" s="1"/>
  <c r="L7" i="4"/>
  <c r="I8" i="19"/>
  <c r="I9" i="1"/>
  <c r="H8" i="3"/>
  <c r="L8" i="3" s="1"/>
  <c r="D9" i="3" s="1"/>
  <c r="E10" i="9"/>
  <c r="B10" i="10"/>
  <c r="I8" i="11"/>
  <c r="L8" i="11" s="1"/>
  <c r="E9" i="11" s="1"/>
  <c r="D10" i="14"/>
  <c r="B10" i="1"/>
  <c r="H9" i="2"/>
  <c r="J8" i="3"/>
  <c r="C10" i="10"/>
  <c r="E10" i="14"/>
  <c r="H9" i="15"/>
  <c r="E10" i="18"/>
  <c r="C10" i="22"/>
  <c r="E10" i="24"/>
  <c r="I9" i="25"/>
  <c r="E10" i="28"/>
  <c r="E11" i="30"/>
  <c r="D10" i="31"/>
  <c r="I9" i="15"/>
  <c r="L9" i="15" s="1"/>
  <c r="M9" i="15" s="1"/>
  <c r="D10" i="22"/>
  <c r="B11" i="24"/>
  <c r="B11" i="28"/>
  <c r="E10" i="31"/>
  <c r="D10" i="10"/>
  <c r="L9" i="3"/>
  <c r="E10" i="10"/>
  <c r="C11" i="20"/>
  <c r="I9" i="20" s="1"/>
  <c r="C11" i="24"/>
  <c r="B10" i="25"/>
  <c r="C11" i="28"/>
  <c r="B11" i="31"/>
  <c r="L7" i="32"/>
  <c r="K8" i="24"/>
  <c r="K8" i="28"/>
  <c r="J8" i="31"/>
  <c r="D10" i="6"/>
  <c r="C10" i="7"/>
  <c r="I8" i="9"/>
  <c r="L8" i="9" s="1"/>
  <c r="L9" i="12"/>
  <c r="M9" i="12" s="1"/>
  <c r="K9" i="13"/>
  <c r="J8" i="14"/>
  <c r="I9" i="17"/>
  <c r="I8" i="22"/>
  <c r="E11" i="26"/>
  <c r="K8" i="31"/>
  <c r="H9" i="32"/>
  <c r="K8" i="9"/>
  <c r="H8" i="10"/>
  <c r="K8" i="14"/>
  <c r="J8" i="24"/>
  <c r="J8" i="28"/>
  <c r="H8" i="14"/>
  <c r="D10" i="7"/>
  <c r="C10" i="8"/>
  <c r="K9" i="17"/>
  <c r="L9" i="17" s="1"/>
  <c r="M9" i="17" s="1"/>
  <c r="K8" i="18"/>
  <c r="J8" i="22"/>
  <c r="H9" i="9"/>
  <c r="I8" i="10"/>
  <c r="B11" i="27"/>
  <c r="I9" i="31"/>
  <c r="C11" i="32"/>
  <c r="K8" i="22"/>
  <c r="H9" i="17"/>
  <c r="L7" i="2"/>
  <c r="H8" i="1"/>
  <c r="L8" i="1" s="1"/>
  <c r="L9" i="7"/>
  <c r="I9" i="22"/>
  <c r="L7" i="26"/>
  <c r="C11" i="27"/>
  <c r="D11" i="32"/>
  <c r="L7" i="12"/>
  <c r="C11" i="23"/>
  <c r="I8" i="25"/>
  <c r="D11" i="27"/>
  <c r="B11" i="30"/>
  <c r="E11" i="32"/>
  <c r="B14" i="32"/>
  <c r="M7" i="3"/>
  <c r="M8" i="3" s="1"/>
  <c r="M9" i="2"/>
  <c r="K9" i="4"/>
  <c r="L9" i="4" s="1"/>
  <c r="K8" i="4"/>
  <c r="L8" i="4" s="1"/>
  <c r="K9" i="6"/>
  <c r="K8" i="6"/>
  <c r="L8" i="6" s="1"/>
  <c r="E9" i="6" s="1"/>
  <c r="L7" i="8"/>
  <c r="J9" i="1"/>
  <c r="J8" i="1"/>
  <c r="L7" i="6"/>
  <c r="N7" i="2"/>
  <c r="J9" i="18"/>
  <c r="L9" i="18" s="1"/>
  <c r="J8" i="18"/>
  <c r="L8" i="18" s="1"/>
  <c r="D10" i="18"/>
  <c r="D9" i="18" s="1"/>
  <c r="H9" i="26"/>
  <c r="H8" i="26"/>
  <c r="B10" i="26"/>
  <c r="C9" i="3"/>
  <c r="L7" i="5"/>
  <c r="K8" i="5"/>
  <c r="K9" i="5"/>
  <c r="L9" i="5" s="1"/>
  <c r="M9" i="1"/>
  <c r="J8" i="2"/>
  <c r="J9" i="2"/>
  <c r="H14" i="9"/>
  <c r="H14" i="10" s="1"/>
  <c r="H14" i="11" s="1"/>
  <c r="H14" i="12" s="1"/>
  <c r="H14" i="13" s="1"/>
  <c r="H14" i="14" s="1"/>
  <c r="H14" i="15" s="1"/>
  <c r="H14" i="16" s="1"/>
  <c r="H14" i="17" s="1"/>
  <c r="H14" i="18" s="1"/>
  <c r="H14" i="19" s="1"/>
  <c r="H14" i="20" s="1"/>
  <c r="H14" i="21" s="1"/>
  <c r="H14" i="22" s="1"/>
  <c r="H14" i="23" s="1"/>
  <c r="H14" i="24" s="1"/>
  <c r="L9" i="14"/>
  <c r="M9" i="14" s="1"/>
  <c r="B10" i="8"/>
  <c r="B14" i="26"/>
  <c r="E10" i="2"/>
  <c r="B10" i="5"/>
  <c r="L7" i="7"/>
  <c r="J9" i="9"/>
  <c r="J9" i="10"/>
  <c r="L9" i="13"/>
  <c r="B10" i="7"/>
  <c r="B9" i="7" s="1"/>
  <c r="C10" i="14"/>
  <c r="L9" i="1"/>
  <c r="N9" i="1" s="1"/>
  <c r="K8" i="2"/>
  <c r="L7" i="3"/>
  <c r="N7" i="3" s="1"/>
  <c r="D9" i="7"/>
  <c r="L7" i="9"/>
  <c r="K8" i="11"/>
  <c r="K9" i="11"/>
  <c r="I8" i="14"/>
  <c r="H9" i="16"/>
  <c r="L9" i="16" s="1"/>
  <c r="H8" i="16"/>
  <c r="L8" i="16" s="1"/>
  <c r="J8" i="17"/>
  <c r="L8" i="17" s="1"/>
  <c r="D9" i="17" s="1"/>
  <c r="J9" i="17"/>
  <c r="I8" i="20"/>
  <c r="C10" i="20"/>
  <c r="D10" i="9"/>
  <c r="E11" i="25"/>
  <c r="B10" i="4"/>
  <c r="K9" i="1"/>
  <c r="H8" i="5"/>
  <c r="H8" i="7"/>
  <c r="L8" i="7" s="1"/>
  <c r="I8" i="8"/>
  <c r="L8" i="8" s="1"/>
  <c r="H9" i="8"/>
  <c r="L9" i="8" s="1"/>
  <c r="L9" i="11"/>
  <c r="M9" i="11" s="1"/>
  <c r="H8" i="12"/>
  <c r="L8" i="12" s="1"/>
  <c r="L7" i="13"/>
  <c r="J8" i="13"/>
  <c r="L8" i="13" s="1"/>
  <c r="L8" i="15"/>
  <c r="L7" i="16"/>
  <c r="L7" i="17"/>
  <c r="L7" i="31"/>
  <c r="B11" i="19"/>
  <c r="E14" i="22"/>
  <c r="L7" i="25"/>
  <c r="L7" i="27"/>
  <c r="L7" i="22"/>
  <c r="L7" i="23"/>
  <c r="L7" i="30"/>
  <c r="H13" i="32" l="1"/>
  <c r="K9" i="32"/>
  <c r="E10" i="32"/>
  <c r="K8" i="32"/>
  <c r="H9" i="30"/>
  <c r="B10" i="30"/>
  <c r="H8" i="30"/>
  <c r="J9" i="27"/>
  <c r="J8" i="27"/>
  <c r="D10" i="27"/>
  <c r="B10" i="28"/>
  <c r="B9" i="28" s="1"/>
  <c r="H8" i="28"/>
  <c r="L8" i="28" s="1"/>
  <c r="D9" i="28" s="1"/>
  <c r="H9" i="28"/>
  <c r="L9" i="28" s="1"/>
  <c r="E9" i="3"/>
  <c r="B10" i="24"/>
  <c r="H8" i="24"/>
  <c r="H9" i="24"/>
  <c r="C10" i="23"/>
  <c r="I8" i="23"/>
  <c r="I9" i="23"/>
  <c r="L9" i="23" s="1"/>
  <c r="M9" i="23" s="1"/>
  <c r="K8" i="30"/>
  <c r="E10" i="30"/>
  <c r="K9" i="30"/>
  <c r="L9" i="26"/>
  <c r="I9" i="27"/>
  <c r="C10" i="27"/>
  <c r="I8" i="27"/>
  <c r="J8" i="32"/>
  <c r="J9" i="32"/>
  <c r="D10" i="32"/>
  <c r="M9" i="18"/>
  <c r="M7" i="19" s="1"/>
  <c r="H9" i="20"/>
  <c r="L9" i="20" s="1"/>
  <c r="M9" i="20" s="1"/>
  <c r="M7" i="21" s="1"/>
  <c r="B10" i="20"/>
  <c r="H8" i="20"/>
  <c r="L8" i="20" s="1"/>
  <c r="B9" i="3"/>
  <c r="L9" i="10"/>
  <c r="M9" i="10" s="1"/>
  <c r="L8" i="10"/>
  <c r="L9" i="9"/>
  <c r="M9" i="9" s="1"/>
  <c r="I8" i="28"/>
  <c r="H13" i="28"/>
  <c r="I9" i="28"/>
  <c r="C10" i="28"/>
  <c r="L9" i="2"/>
  <c r="N9" i="2" s="1"/>
  <c r="D10" i="30"/>
  <c r="J9" i="30"/>
  <c r="J8" i="30"/>
  <c r="M9" i="13"/>
  <c r="M7" i="14" s="1"/>
  <c r="H8" i="31"/>
  <c r="L8" i="31" s="1"/>
  <c r="H9" i="31"/>
  <c r="L9" i="31" s="1"/>
  <c r="B10" i="31"/>
  <c r="I8" i="24"/>
  <c r="I9" i="24"/>
  <c r="C10" i="24"/>
  <c r="M9" i="16"/>
  <c r="I9" i="32"/>
  <c r="C10" i="32"/>
  <c r="I8" i="32"/>
  <c r="E10" i="26"/>
  <c r="K9" i="26"/>
  <c r="K8" i="26"/>
  <c r="L8" i="26" s="1"/>
  <c r="L8" i="14"/>
  <c r="C9" i="14" s="1"/>
  <c r="E9" i="2"/>
  <c r="I9" i="30"/>
  <c r="C10" i="30"/>
  <c r="I8" i="30"/>
  <c r="B10" i="27"/>
  <c r="H9" i="27"/>
  <c r="L9" i="27" s="1"/>
  <c r="M9" i="27" s="1"/>
  <c r="H8" i="27"/>
  <c r="K8" i="23"/>
  <c r="E10" i="23"/>
  <c r="K9" i="23"/>
  <c r="C9" i="13"/>
  <c r="M8" i="13"/>
  <c r="B9" i="13"/>
  <c r="E9" i="13"/>
  <c r="D9" i="13"/>
  <c r="M7" i="9"/>
  <c r="M7" i="10"/>
  <c r="M7" i="11"/>
  <c r="E9" i="8"/>
  <c r="D9" i="8"/>
  <c r="C9" i="8"/>
  <c r="D9" i="4"/>
  <c r="E9" i="4"/>
  <c r="C9" i="4"/>
  <c r="M7" i="16"/>
  <c r="C9" i="20"/>
  <c r="B9" i="22"/>
  <c r="D9" i="22"/>
  <c r="C9" i="22"/>
  <c r="M8" i="22"/>
  <c r="C9" i="1"/>
  <c r="N8" i="1"/>
  <c r="E9" i="1"/>
  <c r="M7" i="23"/>
  <c r="B9" i="15"/>
  <c r="M8" i="15"/>
  <c r="D9" i="15"/>
  <c r="C9" i="15"/>
  <c r="M7" i="15"/>
  <c r="M7" i="13"/>
  <c r="M7" i="18"/>
  <c r="D9" i="29"/>
  <c r="B9" i="29"/>
  <c r="E9" i="29"/>
  <c r="C9" i="29"/>
  <c r="E9" i="21"/>
  <c r="C9" i="21"/>
  <c r="M8" i="21"/>
  <c r="B9" i="21"/>
  <c r="D9" i="21"/>
  <c r="E9" i="7"/>
  <c r="B9" i="1"/>
  <c r="D9" i="9"/>
  <c r="E9" i="16"/>
  <c r="C9" i="16"/>
  <c r="M8" i="16"/>
  <c r="D9" i="16"/>
  <c r="B9" i="16"/>
  <c r="H14" i="25"/>
  <c r="H14" i="26" s="1"/>
  <c r="H14" i="27" s="1"/>
  <c r="H14" i="28" s="1"/>
  <c r="E9" i="22"/>
  <c r="M8" i="10"/>
  <c r="D9" i="20"/>
  <c r="B9" i="20"/>
  <c r="E9" i="20"/>
  <c r="M8" i="20"/>
  <c r="E9" i="12"/>
  <c r="D9" i="12"/>
  <c r="C9" i="12"/>
  <c r="M8" i="12"/>
  <c r="B9" i="12"/>
  <c r="K8" i="25"/>
  <c r="L8" i="25" s="1"/>
  <c r="K9" i="25"/>
  <c r="L9" i="25" s="1"/>
  <c r="E10" i="25"/>
  <c r="C9" i="17"/>
  <c r="M8" i="17"/>
  <c r="E9" i="17"/>
  <c r="M7" i="12"/>
  <c r="E9" i="15"/>
  <c r="B9" i="9"/>
  <c r="M8" i="9"/>
  <c r="C9" i="9"/>
  <c r="N8" i="2"/>
  <c r="B9" i="2"/>
  <c r="C9" i="2"/>
  <c r="C9" i="11"/>
  <c r="M8" i="11"/>
  <c r="B9" i="11"/>
  <c r="D9" i="11"/>
  <c r="M7" i="24"/>
  <c r="H8" i="19"/>
  <c r="L8" i="19" s="1"/>
  <c r="B10" i="19"/>
  <c r="B9" i="19" s="1"/>
  <c r="H9" i="19"/>
  <c r="L9" i="19" s="1"/>
  <c r="M9" i="19" s="1"/>
  <c r="L8" i="5"/>
  <c r="B9" i="5" s="1"/>
  <c r="B9" i="4"/>
  <c r="M9" i="21"/>
  <c r="M7" i="17"/>
  <c r="B9" i="17"/>
  <c r="B9" i="8"/>
  <c r="E9" i="9"/>
  <c r="D9" i="6"/>
  <c r="C9" i="6"/>
  <c r="B9" i="6"/>
  <c r="C9" i="7"/>
  <c r="E9" i="18"/>
  <c r="C9" i="18"/>
  <c r="M8" i="18"/>
  <c r="B9" i="18"/>
  <c r="D9" i="1"/>
  <c r="M7" i="4"/>
  <c r="M9" i="3"/>
  <c r="N9" i="3" s="1"/>
  <c r="N8" i="3"/>
  <c r="C9" i="26" l="1"/>
  <c r="B9" i="26"/>
  <c r="E9" i="26"/>
  <c r="D9" i="26"/>
  <c r="M9" i="26"/>
  <c r="E9" i="31"/>
  <c r="C9" i="31"/>
  <c r="L8" i="30"/>
  <c r="B9" i="30"/>
  <c r="D9" i="32"/>
  <c r="C9" i="28"/>
  <c r="E9" i="30"/>
  <c r="E9" i="32"/>
  <c r="L9" i="32"/>
  <c r="E9" i="10"/>
  <c r="C9" i="10"/>
  <c r="B9" i="10"/>
  <c r="L8" i="32"/>
  <c r="B9" i="32" s="1"/>
  <c r="D9" i="14"/>
  <c r="E9" i="25"/>
  <c r="E9" i="14"/>
  <c r="L8" i="23"/>
  <c r="M8" i="14"/>
  <c r="C9" i="32"/>
  <c r="M9" i="25"/>
  <c r="M7" i="26" s="1"/>
  <c r="C9" i="23"/>
  <c r="L9" i="24"/>
  <c r="M9" i="24" s="1"/>
  <c r="M7" i="25" s="1"/>
  <c r="E9" i="28"/>
  <c r="D9" i="30"/>
  <c r="B9" i="14"/>
  <c r="L8" i="24"/>
  <c r="D9" i="10"/>
  <c r="C9" i="30"/>
  <c r="L9" i="30"/>
  <c r="L8" i="27"/>
  <c r="B9" i="27" s="1"/>
  <c r="B9" i="31"/>
  <c r="D9" i="31"/>
  <c r="M7" i="28"/>
  <c r="M7" i="20"/>
  <c r="M7" i="27"/>
  <c r="H14" i="29"/>
  <c r="M8" i="28"/>
  <c r="M9" i="28"/>
  <c r="M8" i="4"/>
  <c r="N7" i="4"/>
  <c r="M7" i="22"/>
  <c r="C9" i="5"/>
  <c r="D9" i="5"/>
  <c r="E9" i="5"/>
  <c r="C9" i="19"/>
  <c r="M8" i="19"/>
  <c r="E9" i="19"/>
  <c r="D9" i="19"/>
  <c r="B9" i="25"/>
  <c r="D9" i="25"/>
  <c r="C9" i="25"/>
  <c r="M8" i="25"/>
  <c r="M8" i="26"/>
  <c r="D9" i="27" l="1"/>
  <c r="D9" i="24"/>
  <c r="E9" i="24"/>
  <c r="M8" i="24"/>
  <c r="E9" i="23"/>
  <c r="M8" i="23"/>
  <c r="B9" i="23"/>
  <c r="D9" i="23"/>
  <c r="B9" i="24"/>
  <c r="C9" i="24"/>
  <c r="E9" i="27"/>
  <c r="M8" i="27"/>
  <c r="C9" i="27"/>
  <c r="M9" i="4"/>
  <c r="N9" i="4" s="1"/>
  <c r="M7" i="5"/>
  <c r="N8" i="4"/>
  <c r="H14" i="30"/>
  <c r="M9" i="29"/>
  <c r="M8" i="29"/>
  <c r="M7" i="29"/>
  <c r="H14" i="31" l="1"/>
  <c r="H14" i="32" s="1"/>
  <c r="M8" i="30"/>
  <c r="M9" i="30"/>
  <c r="M8" i="5"/>
  <c r="N7" i="5"/>
  <c r="M7" i="30"/>
  <c r="M7" i="31"/>
  <c r="M8" i="32" l="1"/>
  <c r="M9" i="32"/>
  <c r="M7" i="6"/>
  <c r="M9" i="5"/>
  <c r="N9" i="5" s="1"/>
  <c r="N8" i="5"/>
  <c r="M8" i="31"/>
  <c r="M9" i="31"/>
  <c r="M7" i="32" s="1"/>
  <c r="M8" i="6" l="1"/>
  <c r="N7" i="6"/>
  <c r="M9" i="6" l="1"/>
  <c r="N9" i="6" s="1"/>
  <c r="M7" i="7"/>
  <c r="N8" i="6"/>
  <c r="M8" i="7" l="1"/>
  <c r="N7" i="7"/>
  <c r="M9" i="7" l="1"/>
  <c r="N9" i="7" s="1"/>
  <c r="M7" i="8"/>
  <c r="N8" i="7"/>
  <c r="M8" i="8" l="1"/>
  <c r="N7" i="8"/>
  <c r="M9" i="8" l="1"/>
  <c r="N9" i="8" s="1"/>
  <c r="N7" i="9"/>
  <c r="N8" i="8"/>
  <c r="N8" i="9" l="1"/>
  <c r="O7" i="9"/>
  <c r="N9" i="9" l="1"/>
  <c r="O9" i="9" s="1"/>
  <c r="N7" i="10"/>
  <c r="O8" i="9"/>
  <c r="N8" i="10" l="1"/>
  <c r="O7" i="10"/>
  <c r="N7" i="11" l="1"/>
  <c r="N9" i="10"/>
  <c r="O9" i="10" s="1"/>
  <c r="O8" i="10"/>
  <c r="N8" i="11" l="1"/>
  <c r="O7" i="11"/>
  <c r="N7" i="12" l="1"/>
  <c r="N9" i="11"/>
  <c r="O9" i="11" s="1"/>
  <c r="O8" i="11"/>
  <c r="N8" i="12" l="1"/>
  <c r="O7" i="12"/>
  <c r="N9" i="12" l="1"/>
  <c r="O9" i="12" s="1"/>
  <c r="N7" i="13"/>
  <c r="O8" i="12"/>
  <c r="N8" i="13" l="1"/>
  <c r="O7" i="13"/>
  <c r="N7" i="14" l="1"/>
  <c r="N9" i="13"/>
  <c r="O9" i="13" s="1"/>
  <c r="O8" i="13"/>
  <c r="N8" i="14" l="1"/>
  <c r="O7" i="14"/>
  <c r="N9" i="14" l="1"/>
  <c r="O9" i="14" s="1"/>
  <c r="N7" i="15"/>
  <c r="O8" i="14"/>
  <c r="N8" i="15" l="1"/>
  <c r="O7" i="15"/>
  <c r="N7" i="16" l="1"/>
  <c r="N9" i="15"/>
  <c r="O9" i="15" s="1"/>
  <c r="O8" i="15"/>
  <c r="N8" i="16" l="1"/>
  <c r="O7" i="16"/>
  <c r="N7" i="17" l="1"/>
  <c r="N9" i="16"/>
  <c r="O9" i="16" s="1"/>
  <c r="O8" i="16"/>
  <c r="N8" i="17" l="1"/>
  <c r="O7" i="17"/>
  <c r="N7" i="18" l="1"/>
  <c r="N9" i="17"/>
  <c r="O9" i="17" s="1"/>
  <c r="O8" i="17"/>
  <c r="N8" i="18" l="1"/>
  <c r="O7" i="18"/>
  <c r="N7" i="19" l="1"/>
  <c r="N9" i="18"/>
  <c r="O9" i="18" s="1"/>
  <c r="O8" i="18"/>
  <c r="N8" i="19" l="1"/>
  <c r="O7" i="19"/>
  <c r="N7" i="20" l="1"/>
  <c r="N9" i="19"/>
  <c r="O9" i="19" s="1"/>
  <c r="O8" i="19"/>
  <c r="N8" i="20" l="1"/>
  <c r="O7" i="20"/>
  <c r="N9" i="20" l="1"/>
  <c r="O9" i="20" s="1"/>
  <c r="N7" i="21"/>
  <c r="O8" i="20"/>
  <c r="N8" i="21" l="1"/>
  <c r="O7" i="21"/>
  <c r="N7" i="22" l="1"/>
  <c r="N9" i="21"/>
  <c r="O9" i="21" s="1"/>
  <c r="O8" i="21"/>
  <c r="N8" i="22" l="1"/>
  <c r="O7" i="22"/>
  <c r="N7" i="23" l="1"/>
  <c r="N9" i="22"/>
  <c r="O9" i="22" s="1"/>
  <c r="O8" i="22"/>
  <c r="N8" i="23" l="1"/>
  <c r="O7" i="23"/>
  <c r="N7" i="24" l="1"/>
  <c r="N9" i="23"/>
  <c r="O9" i="23" s="1"/>
  <c r="O8" i="23"/>
  <c r="N8" i="24" l="1"/>
  <c r="O7" i="24"/>
  <c r="N9" i="24" l="1"/>
  <c r="O9" i="24" s="1"/>
  <c r="N7" i="25"/>
  <c r="O8" i="24"/>
  <c r="N8" i="25" l="1"/>
  <c r="O7" i="25"/>
  <c r="N9" i="25" l="1"/>
  <c r="O9" i="25" s="1"/>
  <c r="N7" i="26"/>
  <c r="O8" i="25"/>
  <c r="N8" i="26" l="1"/>
  <c r="O7" i="26"/>
  <c r="N9" i="26" l="1"/>
  <c r="O9" i="26" s="1"/>
  <c r="N7" i="27"/>
  <c r="O8" i="26"/>
  <c r="N8" i="27" l="1"/>
  <c r="O7" i="27"/>
  <c r="N7" i="28" l="1"/>
  <c r="N9" i="27"/>
  <c r="O9" i="27" s="1"/>
  <c r="O8" i="27"/>
  <c r="N8" i="28" l="1"/>
  <c r="O7" i="28"/>
  <c r="N7" i="29" l="1"/>
  <c r="N9" i="28"/>
  <c r="O9" i="28" s="1"/>
  <c r="O8" i="28"/>
  <c r="N8" i="29" l="1"/>
  <c r="O7" i="29"/>
  <c r="N7" i="31" l="1"/>
  <c r="N9" i="29"/>
  <c r="O9" i="29" s="1"/>
  <c r="N7" i="30"/>
  <c r="O8" i="29"/>
  <c r="N8" i="30" l="1"/>
  <c r="O7" i="30"/>
  <c r="N8" i="31"/>
  <c r="N7" i="32" s="1"/>
  <c r="O7" i="31"/>
  <c r="N8" i="32" l="1"/>
  <c r="O7" i="32"/>
  <c r="N9" i="31"/>
  <c r="O9" i="31" s="1"/>
  <c r="O8" i="31"/>
  <c r="N9" i="30"/>
  <c r="O9" i="30" s="1"/>
  <c r="O8" i="30"/>
  <c r="N9" i="32" l="1"/>
  <c r="O9" i="32" s="1"/>
  <c r="O8" i="3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<sst xmlns="http://schemas.openxmlformats.org/spreadsheetml/2006/main" count="1420" uniqueCount="49">
  <si>
    <t>(estimate)</t>
  </si>
  <si>
    <t>2308</t>
  </si>
  <si>
    <t>2330</t>
  </si>
  <si>
    <t>2357</t>
  </si>
  <si>
    <t>2897</t>
  </si>
  <si>
    <t>price</t>
  </si>
  <si>
    <t>weight</t>
  </si>
  <si>
    <t>(reference price)</t>
  </si>
  <si>
    <t>value</t>
  </si>
  <si>
    <t>(done price)</t>
  </si>
  <si>
    <t>total amount</t>
  </si>
  <si>
    <t>last amount</t>
  </si>
  <si>
    <t>change</t>
  </si>
  <si>
    <t>Total</t>
  </si>
  <si>
    <t>Original Invest</t>
  </si>
  <si>
    <t>Return (%)</t>
  </si>
  <si>
    <t>(real)</t>
  </si>
  <si>
    <t>change value</t>
  </si>
  <si>
    <t>target return (monthly) (%)</t>
  </si>
  <si>
    <t>risk(std)</t>
  </si>
  <si>
    <t>Note: 6/30 2308 dividend $9.84</t>
  </si>
  <si>
    <t>dividend =</t>
  </si>
  <si>
    <t xml:space="preserve">total div = </t>
  </si>
  <si>
    <t>Note: 7/4 2357 dividend $15, 7/27 2897 dividend $0.38</t>
  </si>
  <si>
    <t xml:space="preserve">dividend = </t>
  </si>
  <si>
    <t>Total Value</t>
  </si>
  <si>
    <t>Total Return</t>
  </si>
  <si>
    <t>Note:</t>
  </si>
  <si>
    <t>charge&amp;tax</t>
  </si>
  <si>
    <t>VaR(95%)</t>
  </si>
  <si>
    <t>buy charge=</t>
  </si>
  <si>
    <t>sell charge&amp;tax=</t>
  </si>
  <si>
    <t>Note: 3/18 2330 dividend $3.5</t>
  </si>
  <si>
    <t>Note: 6/18 2308 dividend $6.43, 6/13 2330 dividend $3.5</t>
  </si>
  <si>
    <t>Note: 7/2 2357 dividend $17, 7/24 2897 dividend $0.44</t>
  </si>
  <si>
    <t>Note: 9/12 2330 dividend $4</t>
  </si>
  <si>
    <t>Note: 12/12 2330 dividend $4</t>
  </si>
  <si>
    <t>Note: 3/18 2330 dividend $4.5</t>
  </si>
  <si>
    <t xml:space="preserve">Note: </t>
  </si>
  <si>
    <t xml:space="preserve">Note: 7/10 2897 dividend $0.5 </t>
    <phoneticPr fontId="2" type="noConversion"/>
  </si>
  <si>
    <t>Note: 6/12 2330 dividend $5, 6/17 2308 dividend $7, 6/26 2357 dividend $34</t>
    <phoneticPr fontId="2" type="noConversion"/>
  </si>
  <si>
    <t>(observation price)</t>
    <phoneticPr fontId="2" type="noConversion"/>
  </si>
  <si>
    <t>(observation price)</t>
    <phoneticPr fontId="2" type="noConversion"/>
  </si>
  <si>
    <t>(observation price)</t>
    <phoneticPr fontId="2" type="noConversion"/>
  </si>
  <si>
    <t>(observation price)</t>
    <phoneticPr fontId="2" type="noConversion"/>
  </si>
  <si>
    <t>(observation price)</t>
    <phoneticPr fontId="2" type="noConversion"/>
  </si>
  <si>
    <t>(final sell price)</t>
    <phoneticPr fontId="2" type="noConversion"/>
  </si>
  <si>
    <t>Date</t>
    <phoneticPr fontId="2" type="noConversion"/>
  </si>
  <si>
    <t>Return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</si>
</sst>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8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2"/>
      <scheme val="minor"/>
    </font>
    <font>
      <b/>
      <sz val="11"/>
      <color rgb="FFFF0000"/>
      <name val="新細明體"/>
      <family val="1"/>
      <charset val="136"/>
      <scheme val="minor"/>
    </font>
    <font>
      <sz val="11"/>
      <color rgb="FFFF0000"/>
      <name val="新細明體"/>
      <family val="1"/>
      <charset val="136"/>
      <scheme val="minor"/>
    </font>
    <font>
      <sz val="11"/>
      <color theme="1"/>
      <name val="微軟正黑體"/>
      <family val="2"/>
      <charset val="136"/>
    </font>
    <font>
      <b/>
      <sz val="11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4" fillId="0" borderId="0" xfId="0" applyFont="1"/>
    <xf numFmtId="0" fontId="1" fillId="0" borderId="0" xfId="0" applyFont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  <xf numFmtId="0" fontId="6" fillId="0" borderId="0" xfId="0" applyFont="1"/>
    <xf numFmtId="0" fontId="7" fillId="0" borderId="0" xfId="0" applyFont="1" applyAlignment="1">
      <alignment horizontal="center"/>
    </xf>
    <xf numFmtId="14" fontId="7" fillId="0" borderId="0" xfId="0" applyNumberFormat="1" applyFont="1" applyAlignment="1">
      <alignment horizontal="center"/>
    </xf>
    <xf numFmtId="14" fontId="6" fillId="0" borderId="0" xfId="0" applyNumberFormat="1" applyFont="1"/>
    <xf numFmtId="0" fontId="6" fillId="0" borderId="0" xfId="0" applyFont="1" applyAlignment="1">
      <alignment horizontal="right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259080</xdr:colOff>
      <xdr:row>1</xdr:row>
      <xdr:rowOff>76200</xdr:rowOff>
    </xdr:from>
    <xdr:to>
      <xdr:col>20</xdr:col>
      <xdr:colOff>335280</xdr:colOff>
      <xdr:row>32</xdr:row>
      <xdr:rowOff>22860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11CECEED-707E-3601-31CB-19A7D9FB6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0780" y="259080"/>
          <a:ext cx="9403080" cy="5623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workbookViewId="0">
      <selection activeCell="N8" sqref="N8"/>
    </sheetView>
  </sheetViews>
  <sheetFormatPr defaultRowHeight="15" x14ac:dyDescent="0.3"/>
  <cols>
    <col min="1" max="1" width="30.75" bestFit="1" customWidth="1"/>
    <col min="2" max="2" width="12.75" bestFit="1" customWidth="1"/>
    <col min="3" max="3" width="13.375" bestFit="1" customWidth="1"/>
    <col min="4" max="5" width="12.75" bestFit="1" customWidth="1"/>
    <col min="7" max="7" width="11.125" bestFit="1" customWidth="1"/>
    <col min="13" max="13" width="17.375" bestFit="1" customWidth="1"/>
    <col min="14" max="14" width="12.875" bestFit="1" customWidth="1"/>
  </cols>
  <sheetData>
    <row r="1" spans="1:14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3" t="s">
        <v>5</v>
      </c>
      <c r="H1" s="1" t="s">
        <v>1</v>
      </c>
      <c r="I1" s="1" t="s">
        <v>2</v>
      </c>
      <c r="J1" s="1" t="s">
        <v>3</v>
      </c>
      <c r="K1" s="1" t="s">
        <v>4</v>
      </c>
    </row>
    <row r="2" spans="1:14" x14ac:dyDescent="0.3">
      <c r="A2" s="1" t="s">
        <v>6</v>
      </c>
      <c r="B2">
        <v>0.24465535178909811</v>
      </c>
      <c r="C2">
        <v>1.05112942259208E-7</v>
      </c>
      <c r="D2">
        <v>0.38983067509210678</v>
      </c>
      <c r="E2">
        <v>0.36551386800585278</v>
      </c>
      <c r="G2" s="9">
        <v>44895</v>
      </c>
      <c r="H2">
        <v>305</v>
      </c>
      <c r="I2">
        <v>492.5</v>
      </c>
      <c r="J2">
        <v>277</v>
      </c>
      <c r="K2">
        <v>8.58</v>
      </c>
      <c r="L2" s="2" t="s">
        <v>7</v>
      </c>
    </row>
    <row r="3" spans="1:14" x14ac:dyDescent="0.3">
      <c r="A3" s="1" t="s">
        <v>8</v>
      </c>
      <c r="B3">
        <v>7528</v>
      </c>
      <c r="C3">
        <v>0</v>
      </c>
      <c r="D3">
        <v>11994</v>
      </c>
      <c r="E3">
        <v>11246</v>
      </c>
      <c r="G3" s="9">
        <v>44902</v>
      </c>
      <c r="H3">
        <v>296</v>
      </c>
      <c r="I3">
        <v>478</v>
      </c>
      <c r="J3">
        <v>273.5</v>
      </c>
      <c r="K3">
        <v>8.5254829999999995</v>
      </c>
      <c r="L3" s="5" t="s">
        <v>9</v>
      </c>
    </row>
    <row r="4" spans="1:14" x14ac:dyDescent="0.3">
      <c r="A4" s="1" t="s">
        <v>10</v>
      </c>
      <c r="B4">
        <v>24.681967213114749</v>
      </c>
      <c r="C4">
        <v>0</v>
      </c>
      <c r="D4">
        <v>43.299638989169672</v>
      </c>
      <c r="E4">
        <v>1310.7226107226111</v>
      </c>
      <c r="G4" s="9">
        <v>44925</v>
      </c>
      <c r="H4">
        <v>286.5</v>
      </c>
      <c r="I4">
        <v>448.5</v>
      </c>
      <c r="J4">
        <v>268.5</v>
      </c>
      <c r="K4">
        <v>8.39</v>
      </c>
      <c r="L4" s="5" t="s">
        <v>41</v>
      </c>
    </row>
    <row r="5" spans="1:14" x14ac:dyDescent="0.3">
      <c r="A5" s="1" t="s">
        <v>11</v>
      </c>
      <c r="B5">
        <v>20</v>
      </c>
      <c r="C5">
        <v>0</v>
      </c>
      <c r="D5">
        <v>30</v>
      </c>
      <c r="E5">
        <v>741</v>
      </c>
    </row>
    <row r="6" spans="1:14" x14ac:dyDescent="0.3">
      <c r="A6" s="1" t="s">
        <v>12</v>
      </c>
      <c r="B6">
        <v>4.6819672131147527</v>
      </c>
      <c r="C6">
        <v>0</v>
      </c>
      <c r="D6">
        <v>13.29963898916967</v>
      </c>
      <c r="E6">
        <v>569.72261072261063</v>
      </c>
      <c r="G6" s="3" t="s">
        <v>8</v>
      </c>
      <c r="H6" s="1" t="s">
        <v>1</v>
      </c>
      <c r="I6" s="1" t="s">
        <v>2</v>
      </c>
      <c r="J6" s="1" t="s">
        <v>3</v>
      </c>
      <c r="K6" s="1" t="s">
        <v>4</v>
      </c>
      <c r="L6" s="1" t="s">
        <v>13</v>
      </c>
      <c r="M6" s="1" t="s">
        <v>14</v>
      </c>
      <c r="N6" s="1" t="s">
        <v>15</v>
      </c>
    </row>
    <row r="7" spans="1:14" x14ac:dyDescent="0.3">
      <c r="G7" s="9">
        <v>44895</v>
      </c>
      <c r="H7">
        <f>B5*H2</f>
        <v>6100</v>
      </c>
      <c r="I7">
        <f>C5*I2</f>
        <v>0</v>
      </c>
      <c r="J7">
        <f>D5*J2</f>
        <v>8310</v>
      </c>
      <c r="K7">
        <f>E5*K2</f>
        <v>6357.78</v>
      </c>
      <c r="L7">
        <f>SUM(H7:K7)</f>
        <v>20767.78</v>
      </c>
      <c r="M7">
        <v>20000</v>
      </c>
      <c r="N7">
        <f>(L7/M7 - 1) * 100</f>
        <v>3.8389000000000006</v>
      </c>
    </row>
    <row r="8" spans="1:14" x14ac:dyDescent="0.3">
      <c r="A8" s="2" t="s">
        <v>16</v>
      </c>
      <c r="B8" s="1" t="s">
        <v>1</v>
      </c>
      <c r="C8" s="1" t="s">
        <v>2</v>
      </c>
      <c r="D8" s="1" t="s">
        <v>3</v>
      </c>
      <c r="E8" s="1" t="s">
        <v>4</v>
      </c>
      <c r="G8" s="9">
        <v>44902</v>
      </c>
      <c r="H8">
        <f>B11*H3</f>
        <v>7104</v>
      </c>
      <c r="I8">
        <f>C11*I3</f>
        <v>0</v>
      </c>
      <c r="J8">
        <f>D11*J3</f>
        <v>11760.5</v>
      </c>
      <c r="K8">
        <f>E11*K3</f>
        <v>11168.382729999999</v>
      </c>
      <c r="L8">
        <f>SUM(H8:K8)</f>
        <v>30032.882729999998</v>
      </c>
      <c r="M8">
        <f>ROUNDUP(20000+B13*H3+C13*I3+D13*J3+E13*K3, 0)+3</f>
        <v>29594</v>
      </c>
      <c r="N8">
        <f>(L8/M8 - 1) * 100</f>
        <v>1.4830125363249236</v>
      </c>
    </row>
    <row r="9" spans="1:14" x14ac:dyDescent="0.3">
      <c r="A9" s="1" t="s">
        <v>6</v>
      </c>
      <c r="B9">
        <f>B10/L8</f>
        <v>0.23654072983489455</v>
      </c>
      <c r="C9">
        <f>C10/L8</f>
        <v>0</v>
      </c>
      <c r="D9">
        <f>D10/L8</f>
        <v>0.39158745118570909</v>
      </c>
      <c r="E9">
        <f>E10/L8</f>
        <v>0.37187181897939642</v>
      </c>
      <c r="G9" s="9">
        <v>44925</v>
      </c>
      <c r="H9">
        <f>B11*H4</f>
        <v>6876</v>
      </c>
      <c r="I9">
        <f>C11*I4</f>
        <v>0</v>
      </c>
      <c r="J9">
        <f>D11*J4</f>
        <v>11545.5</v>
      </c>
      <c r="K9">
        <f>E11*K4</f>
        <v>10990.900000000001</v>
      </c>
      <c r="L9">
        <f>SUM(H9:K9)</f>
        <v>29412.400000000001</v>
      </c>
      <c r="M9">
        <f>M8</f>
        <v>29594</v>
      </c>
      <c r="N9">
        <f>(L9/M9 - 1) * 100</f>
        <v>-0.61363789957423753</v>
      </c>
    </row>
    <row r="10" spans="1:14" x14ac:dyDescent="0.3">
      <c r="A10" s="1" t="s">
        <v>8</v>
      </c>
      <c r="B10">
        <f>B11*H3</f>
        <v>7104</v>
      </c>
      <c r="C10">
        <f>C11*I3</f>
        <v>0</v>
      </c>
      <c r="D10">
        <f>D11*J3</f>
        <v>11760.5</v>
      </c>
      <c r="E10">
        <f>E11*K3</f>
        <v>11168.382729999999</v>
      </c>
    </row>
    <row r="11" spans="1:14" x14ac:dyDescent="0.3">
      <c r="A11" s="1" t="s">
        <v>10</v>
      </c>
      <c r="B11">
        <f>B12+B13</f>
        <v>24</v>
      </c>
      <c r="C11">
        <f>C12+C13</f>
        <v>0</v>
      </c>
      <c r="D11">
        <f>D12+D13</f>
        <v>43</v>
      </c>
      <c r="E11">
        <f>E12+E13</f>
        <v>1310</v>
      </c>
    </row>
    <row r="12" spans="1:14" x14ac:dyDescent="0.3">
      <c r="A12" s="1" t="s">
        <v>11</v>
      </c>
      <c r="B12">
        <v>20</v>
      </c>
      <c r="C12">
        <v>0</v>
      </c>
      <c r="D12">
        <v>30</v>
      </c>
      <c r="E12">
        <v>741</v>
      </c>
    </row>
    <row r="13" spans="1:14" x14ac:dyDescent="0.3">
      <c r="A13" s="1" t="s">
        <v>12</v>
      </c>
      <c r="B13">
        <v>4</v>
      </c>
      <c r="C13">
        <v>0</v>
      </c>
      <c r="D13">
        <v>13</v>
      </c>
      <c r="E13">
        <v>569</v>
      </c>
    </row>
    <row r="14" spans="1:14" x14ac:dyDescent="0.3">
      <c r="A14" s="1" t="s">
        <v>17</v>
      </c>
      <c r="B14">
        <f>ROUND(B13*H3,0)</f>
        <v>1184</v>
      </c>
      <c r="C14">
        <f>ROUND(C13*I3,0)</f>
        <v>0</v>
      </c>
      <c r="D14">
        <f>ROUND(D13*J3,0)</f>
        <v>3556</v>
      </c>
      <c r="E14">
        <f>ROUND(E13*K3,0)</f>
        <v>4851</v>
      </c>
    </row>
    <row r="16" spans="1:14" x14ac:dyDescent="0.3">
      <c r="A16" s="4" t="s">
        <v>18</v>
      </c>
      <c r="B16">
        <v>1.65</v>
      </c>
    </row>
    <row r="17" spans="1:2" x14ac:dyDescent="0.3">
      <c r="A17" s="4" t="s">
        <v>19</v>
      </c>
      <c r="B17">
        <v>5.08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7"/>
  <sheetViews>
    <sheetView workbookViewId="0">
      <selection activeCell="L4" sqref="L4"/>
    </sheetView>
  </sheetViews>
  <sheetFormatPr defaultRowHeight="15" x14ac:dyDescent="0.3"/>
  <cols>
    <col min="1" max="1" width="30.75" bestFit="1" customWidth="1"/>
    <col min="2" max="2" width="12.75" bestFit="1" customWidth="1"/>
    <col min="3" max="3" width="13.375" bestFit="1" customWidth="1"/>
    <col min="4" max="5" width="12.75" bestFit="1" customWidth="1"/>
    <col min="6" max="6" width="9" customWidth="1"/>
    <col min="7" max="7" width="11.125" bestFit="1" customWidth="1"/>
    <col min="8" max="12" width="9" customWidth="1"/>
    <col min="13" max="13" width="17.375" bestFit="1" customWidth="1"/>
    <col min="14" max="14" width="12.875" bestFit="1" customWidth="1"/>
  </cols>
  <sheetData>
    <row r="1" spans="1:14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3" t="s">
        <v>5</v>
      </c>
      <c r="H1" s="1" t="s">
        <v>1</v>
      </c>
      <c r="I1" s="1" t="s">
        <v>2</v>
      </c>
      <c r="J1" s="1" t="s">
        <v>3</v>
      </c>
      <c r="K1" s="1" t="s">
        <v>4</v>
      </c>
    </row>
    <row r="2" spans="1:14" x14ac:dyDescent="0.3">
      <c r="A2" s="1" t="s">
        <v>6</v>
      </c>
      <c r="B2">
        <v>0.28491239000214053</v>
      </c>
      <c r="C2">
        <v>8.6244378713050418E-7</v>
      </c>
      <c r="D2">
        <v>0.40998608656122049</v>
      </c>
      <c r="E2">
        <v>0.30510066099285188</v>
      </c>
      <c r="G2" s="9">
        <v>44925</v>
      </c>
      <c r="H2">
        <v>286.5</v>
      </c>
      <c r="I2">
        <v>448.5</v>
      </c>
      <c r="J2">
        <v>268.5</v>
      </c>
      <c r="K2">
        <v>8.39</v>
      </c>
      <c r="L2" s="2" t="s">
        <v>7</v>
      </c>
    </row>
    <row r="3" spans="1:14" x14ac:dyDescent="0.3">
      <c r="A3" s="1" t="s">
        <v>8</v>
      </c>
      <c r="B3">
        <v>11229</v>
      </c>
      <c r="C3">
        <v>0</v>
      </c>
      <c r="D3">
        <v>16159</v>
      </c>
      <c r="E3">
        <v>12025</v>
      </c>
      <c r="G3" s="9">
        <v>44935</v>
      </c>
      <c r="H3">
        <v>280</v>
      </c>
      <c r="I3">
        <v>481</v>
      </c>
      <c r="J3">
        <v>273.5</v>
      </c>
      <c r="K3">
        <v>8.4700000000000006</v>
      </c>
      <c r="L3" s="5" t="s">
        <v>9</v>
      </c>
    </row>
    <row r="4" spans="1:14" x14ac:dyDescent="0.3">
      <c r="A4" s="1" t="s">
        <v>10</v>
      </c>
      <c r="B4">
        <v>39.193717277486911</v>
      </c>
      <c r="C4">
        <v>0</v>
      </c>
      <c r="D4">
        <v>60.18249534450652</v>
      </c>
      <c r="E4">
        <v>1433.253873659118</v>
      </c>
      <c r="G4" s="9">
        <v>44957</v>
      </c>
      <c r="H4">
        <v>289</v>
      </c>
      <c r="I4">
        <v>522</v>
      </c>
      <c r="J4">
        <v>272</v>
      </c>
      <c r="K4">
        <v>9.25</v>
      </c>
      <c r="L4" s="5" t="s">
        <v>41</v>
      </c>
    </row>
    <row r="5" spans="1:14" x14ac:dyDescent="0.3">
      <c r="A5" s="1" t="s">
        <v>11</v>
      </c>
      <c r="B5">
        <v>24</v>
      </c>
      <c r="C5">
        <v>0</v>
      </c>
      <c r="D5">
        <v>43</v>
      </c>
      <c r="E5">
        <v>1310</v>
      </c>
    </row>
    <row r="6" spans="1:14" x14ac:dyDescent="0.3">
      <c r="A6" s="1" t="s">
        <v>12</v>
      </c>
      <c r="B6">
        <v>15.193717277486909</v>
      </c>
      <c r="C6">
        <v>0</v>
      </c>
      <c r="D6">
        <v>17.18249534450652</v>
      </c>
      <c r="E6">
        <v>123.253873659118</v>
      </c>
      <c r="G6" s="3" t="s">
        <v>8</v>
      </c>
      <c r="H6" s="1" t="s">
        <v>1</v>
      </c>
      <c r="I6" s="1" t="s">
        <v>2</v>
      </c>
      <c r="J6" s="1" t="s">
        <v>3</v>
      </c>
      <c r="K6" s="1" t="s">
        <v>4</v>
      </c>
      <c r="L6" s="1" t="s">
        <v>13</v>
      </c>
      <c r="M6" s="1" t="s">
        <v>14</v>
      </c>
      <c r="N6" s="1" t="s">
        <v>15</v>
      </c>
    </row>
    <row r="7" spans="1:14" x14ac:dyDescent="0.3">
      <c r="G7" s="9">
        <v>44925</v>
      </c>
      <c r="H7">
        <f>B5*H2</f>
        <v>6876</v>
      </c>
      <c r="I7">
        <f>C5*I2</f>
        <v>0</v>
      </c>
      <c r="J7">
        <f>D5*J2</f>
        <v>11545.5</v>
      </c>
      <c r="K7">
        <f>E5*K2</f>
        <v>10990.900000000001</v>
      </c>
      <c r="L7">
        <f>SUM(H7:K7)</f>
        <v>29412.400000000001</v>
      </c>
      <c r="M7">
        <f>'20221207'!M8</f>
        <v>29594</v>
      </c>
      <c r="N7">
        <f>(L7/M7 - 1) * 100</f>
        <v>-0.61363789957423753</v>
      </c>
    </row>
    <row r="8" spans="1:14" x14ac:dyDescent="0.3">
      <c r="A8" s="2" t="s">
        <v>16</v>
      </c>
      <c r="B8" s="1" t="s">
        <v>1</v>
      </c>
      <c r="C8" s="1" t="s">
        <v>2</v>
      </c>
      <c r="D8" s="1" t="s">
        <v>3</v>
      </c>
      <c r="E8" s="1" t="s">
        <v>4</v>
      </c>
      <c r="G8" s="9">
        <v>44935</v>
      </c>
      <c r="H8">
        <f>B11*H3</f>
        <v>10920</v>
      </c>
      <c r="I8">
        <f>C11*I3</f>
        <v>0</v>
      </c>
      <c r="J8">
        <f>D11*J3</f>
        <v>16410</v>
      </c>
      <c r="K8">
        <f>E11*K3</f>
        <v>12137.51</v>
      </c>
      <c r="L8">
        <f>SUM(H8:K8)</f>
        <v>39467.51</v>
      </c>
      <c r="M8">
        <f>ROUNDUP(M7+B13*H3+C13*I3+D13*J3+E13*K3, 0)+3</f>
        <v>39489</v>
      </c>
      <c r="N8">
        <f>(L8/M8 - 1) * 100</f>
        <v>-5.4420218288631084E-2</v>
      </c>
    </row>
    <row r="9" spans="1:14" x14ac:dyDescent="0.3">
      <c r="A9" s="1" t="s">
        <v>6</v>
      </c>
      <c r="B9">
        <f>B10/L8</f>
        <v>0.27668327695362588</v>
      </c>
      <c r="C9">
        <f>C10/L8</f>
        <v>0</v>
      </c>
      <c r="D9">
        <f>D10/L8</f>
        <v>0.4157850343231686</v>
      </c>
      <c r="E9">
        <f>E10/L8</f>
        <v>0.30753168872320547</v>
      </c>
      <c r="G9" s="9">
        <v>47149</v>
      </c>
      <c r="H9">
        <f>B11*H4</f>
        <v>11271</v>
      </c>
      <c r="I9">
        <f>C11*I4</f>
        <v>0</v>
      </c>
      <c r="J9">
        <f>D11*J4</f>
        <v>16320</v>
      </c>
      <c r="K9">
        <f>E11*K4</f>
        <v>13255.25</v>
      </c>
      <c r="L9">
        <f>SUM(H9:K9)</f>
        <v>40846.25</v>
      </c>
      <c r="M9">
        <f>M8</f>
        <v>39489</v>
      </c>
      <c r="N9">
        <f>(L9/M9 - 1) * 100</f>
        <v>3.4370330978247043</v>
      </c>
    </row>
    <row r="10" spans="1:14" x14ac:dyDescent="0.3">
      <c r="A10" s="1" t="s">
        <v>8</v>
      </c>
      <c r="B10">
        <f>B11*H3</f>
        <v>10920</v>
      </c>
      <c r="C10">
        <f>C11*I3</f>
        <v>0</v>
      </c>
      <c r="D10">
        <f>D11*J3</f>
        <v>16410</v>
      </c>
      <c r="E10">
        <f>E11*K3</f>
        <v>12137.51</v>
      </c>
    </row>
    <row r="11" spans="1:14" x14ac:dyDescent="0.3">
      <c r="A11" s="1" t="s">
        <v>10</v>
      </c>
      <c r="B11">
        <f>B12+B13</f>
        <v>39</v>
      </c>
      <c r="C11">
        <f>C12+C13</f>
        <v>0</v>
      </c>
      <c r="D11">
        <f>D12+D13</f>
        <v>60</v>
      </c>
      <c r="E11">
        <f>E12+E13</f>
        <v>1433</v>
      </c>
    </row>
    <row r="12" spans="1:14" x14ac:dyDescent="0.3">
      <c r="A12" s="1" t="s">
        <v>11</v>
      </c>
      <c r="B12">
        <v>24</v>
      </c>
      <c r="C12">
        <v>0</v>
      </c>
      <c r="D12">
        <v>43</v>
      </c>
      <c r="E12">
        <v>1310</v>
      </c>
    </row>
    <row r="13" spans="1:14" x14ac:dyDescent="0.3">
      <c r="A13" s="1" t="s">
        <v>12</v>
      </c>
      <c r="B13">
        <v>15</v>
      </c>
      <c r="C13">
        <v>0</v>
      </c>
      <c r="D13">
        <v>17</v>
      </c>
      <c r="E13">
        <v>123</v>
      </c>
    </row>
    <row r="14" spans="1:14" x14ac:dyDescent="0.3">
      <c r="A14" s="1" t="s">
        <v>17</v>
      </c>
      <c r="B14">
        <f>ROUND(B13*H3,0)</f>
        <v>4200</v>
      </c>
      <c r="C14">
        <f>ROUND(C13*I3,0)</f>
        <v>0</v>
      </c>
      <c r="D14">
        <f>ROUND(D13*J3,0)</f>
        <v>4650</v>
      </c>
      <c r="E14">
        <f>ROUND(E13*K3,0)</f>
        <v>1042</v>
      </c>
    </row>
    <row r="16" spans="1:14" x14ac:dyDescent="0.3">
      <c r="A16" s="4" t="s">
        <v>18</v>
      </c>
      <c r="B16">
        <v>1.65</v>
      </c>
    </row>
    <row r="17" spans="1:2" x14ac:dyDescent="0.3">
      <c r="A17" s="4" t="s">
        <v>19</v>
      </c>
      <c r="B17">
        <v>5.23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7"/>
  <sheetViews>
    <sheetView workbookViewId="0">
      <selection activeCell="L4" sqref="L4"/>
    </sheetView>
  </sheetViews>
  <sheetFormatPr defaultRowHeight="15" x14ac:dyDescent="0.3"/>
  <cols>
    <col min="1" max="1" width="30.75" bestFit="1" customWidth="1"/>
    <col min="2" max="2" width="12.75" bestFit="1" customWidth="1"/>
    <col min="3" max="3" width="13.375" bestFit="1" customWidth="1"/>
    <col min="4" max="5" width="12.75" bestFit="1" customWidth="1"/>
    <col min="6" max="6" width="9" customWidth="1"/>
    <col min="7" max="7" width="11.125" bestFit="1" customWidth="1"/>
    <col min="8" max="12" width="9" customWidth="1"/>
    <col min="13" max="13" width="17.375" bestFit="1" customWidth="1"/>
    <col min="14" max="14" width="12.875" bestFit="1" customWidth="1"/>
  </cols>
  <sheetData>
    <row r="1" spans="1:14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3" t="s">
        <v>5</v>
      </c>
      <c r="H1" s="1" t="s">
        <v>1</v>
      </c>
      <c r="I1" s="1" t="s">
        <v>2</v>
      </c>
      <c r="J1" s="1" t="s">
        <v>3</v>
      </c>
      <c r="K1" s="1" t="s">
        <v>4</v>
      </c>
    </row>
    <row r="2" spans="1:14" x14ac:dyDescent="0.3">
      <c r="A2" s="1" t="s">
        <v>6</v>
      </c>
      <c r="B2">
        <v>0.25463989768977408</v>
      </c>
      <c r="C2">
        <v>1.346273229741482E-7</v>
      </c>
      <c r="D2">
        <v>0.3946283191682578</v>
      </c>
      <c r="E2">
        <v>0.350731648514645</v>
      </c>
      <c r="G2" s="9">
        <v>44957</v>
      </c>
      <c r="H2">
        <v>289</v>
      </c>
      <c r="I2">
        <v>522</v>
      </c>
      <c r="J2">
        <v>272</v>
      </c>
      <c r="K2">
        <v>9.25</v>
      </c>
      <c r="L2" s="2" t="s">
        <v>7</v>
      </c>
    </row>
    <row r="3" spans="1:14" x14ac:dyDescent="0.3">
      <c r="A3" s="1" t="s">
        <v>8</v>
      </c>
      <c r="B3">
        <v>12947</v>
      </c>
      <c r="C3">
        <v>0</v>
      </c>
      <c r="D3">
        <v>20065</v>
      </c>
      <c r="E3">
        <v>17833</v>
      </c>
      <c r="G3" s="9">
        <v>44965</v>
      </c>
      <c r="H3">
        <v>296</v>
      </c>
      <c r="I3">
        <v>540</v>
      </c>
      <c r="J3">
        <v>278</v>
      </c>
      <c r="K3">
        <v>9.68</v>
      </c>
      <c r="L3" s="5" t="s">
        <v>9</v>
      </c>
    </row>
    <row r="4" spans="1:14" x14ac:dyDescent="0.3">
      <c r="A4" s="1" t="s">
        <v>10</v>
      </c>
      <c r="B4">
        <v>44.799307958477513</v>
      </c>
      <c r="C4">
        <v>0</v>
      </c>
      <c r="D4">
        <v>73.768382352941174</v>
      </c>
      <c r="E4">
        <v>1927.8918918918921</v>
      </c>
      <c r="G4" s="9">
        <v>44981</v>
      </c>
      <c r="H4">
        <v>286.5</v>
      </c>
      <c r="I4">
        <v>511</v>
      </c>
      <c r="J4">
        <v>278</v>
      </c>
      <c r="K4">
        <v>9.7100000000000009</v>
      </c>
      <c r="L4" s="5" t="s">
        <v>41</v>
      </c>
    </row>
    <row r="5" spans="1:14" x14ac:dyDescent="0.3">
      <c r="A5" s="1" t="s">
        <v>11</v>
      </c>
      <c r="B5">
        <v>39</v>
      </c>
      <c r="C5">
        <v>0</v>
      </c>
      <c r="D5">
        <v>60</v>
      </c>
      <c r="E5">
        <v>1433</v>
      </c>
    </row>
    <row r="6" spans="1:14" x14ac:dyDescent="0.3">
      <c r="A6" s="1" t="s">
        <v>12</v>
      </c>
      <c r="B6">
        <v>5.799307958477506</v>
      </c>
      <c r="C6">
        <v>0</v>
      </c>
      <c r="D6">
        <v>13.76838235294117</v>
      </c>
      <c r="E6">
        <v>494.89189189189187</v>
      </c>
      <c r="G6" s="3" t="s">
        <v>8</v>
      </c>
      <c r="H6" s="1" t="s">
        <v>1</v>
      </c>
      <c r="I6" s="1" t="s">
        <v>2</v>
      </c>
      <c r="J6" s="1" t="s">
        <v>3</v>
      </c>
      <c r="K6" s="1" t="s">
        <v>4</v>
      </c>
      <c r="L6" s="1" t="s">
        <v>13</v>
      </c>
      <c r="M6" s="1" t="s">
        <v>14</v>
      </c>
      <c r="N6" s="1" t="s">
        <v>15</v>
      </c>
    </row>
    <row r="7" spans="1:14" x14ac:dyDescent="0.3">
      <c r="G7" s="9">
        <v>44957</v>
      </c>
      <c r="H7">
        <f>B5*H2</f>
        <v>11271</v>
      </c>
      <c r="I7">
        <f>C5*I2</f>
        <v>0</v>
      </c>
      <c r="J7">
        <f>D5*J2</f>
        <v>16320</v>
      </c>
      <c r="K7">
        <f>E5*K2</f>
        <v>13255.25</v>
      </c>
      <c r="L7">
        <f>SUM(H7:K7)</f>
        <v>40846.25</v>
      </c>
      <c r="M7">
        <f>'20230109'!M8</f>
        <v>39489</v>
      </c>
      <c r="N7">
        <f>(L7/M7 - 1) * 100</f>
        <v>3.4370330978247043</v>
      </c>
    </row>
    <row r="8" spans="1:14" x14ac:dyDescent="0.3">
      <c r="A8" s="2" t="s">
        <v>16</v>
      </c>
      <c r="B8" s="1" t="s">
        <v>1</v>
      </c>
      <c r="C8" s="1" t="s">
        <v>2</v>
      </c>
      <c r="D8" s="1" t="s">
        <v>3</v>
      </c>
      <c r="E8" s="1" t="s">
        <v>4</v>
      </c>
      <c r="G8" s="9">
        <v>44965</v>
      </c>
      <c r="H8">
        <f>B11*H3</f>
        <v>13320</v>
      </c>
      <c r="I8">
        <f>C11*I3</f>
        <v>0</v>
      </c>
      <c r="J8">
        <f>D11*J3</f>
        <v>20572</v>
      </c>
      <c r="K8">
        <f>E11*K3</f>
        <v>18663.04</v>
      </c>
      <c r="L8">
        <f>SUM(H8:K8)</f>
        <v>52555.040000000001</v>
      </c>
      <c r="M8">
        <f>ROUNDUP(M7+B13*H3+C13*I3+D13*J3+E13*K3, 0)+3</f>
        <v>49952</v>
      </c>
      <c r="N8">
        <f>(L8/M8 - 1) * 100</f>
        <v>5.2110826393337639</v>
      </c>
    </row>
    <row r="9" spans="1:14" x14ac:dyDescent="0.3">
      <c r="A9" s="1" t="s">
        <v>6</v>
      </c>
      <c r="B9">
        <f>B10/L8</f>
        <v>0.2534485750557891</v>
      </c>
      <c r="C9">
        <f>C10/L8</f>
        <v>0</v>
      </c>
      <c r="D9">
        <f>D10/L8</f>
        <v>0.39143724369727434</v>
      </c>
      <c r="E9">
        <f>E10/L8</f>
        <v>0.35511418124693656</v>
      </c>
      <c r="G9" s="9">
        <v>44981</v>
      </c>
      <c r="H9">
        <f>B11*H4</f>
        <v>12892.5</v>
      </c>
      <c r="I9">
        <f>C11*I4</f>
        <v>0</v>
      </c>
      <c r="J9">
        <f>D11*J4</f>
        <v>20572</v>
      </c>
      <c r="K9">
        <f>E11*K4</f>
        <v>18720.88</v>
      </c>
      <c r="L9">
        <f>SUM(H9:K9)</f>
        <v>52185.380000000005</v>
      </c>
      <c r="M9">
        <f>M8</f>
        <v>49952</v>
      </c>
      <c r="N9">
        <f>(L9/M9 - 1) * 100</f>
        <v>4.4710522101217176</v>
      </c>
    </row>
    <row r="10" spans="1:14" x14ac:dyDescent="0.3">
      <c r="A10" s="1" t="s">
        <v>8</v>
      </c>
      <c r="B10">
        <f>B11*H3</f>
        <v>13320</v>
      </c>
      <c r="C10">
        <f>C11*I3</f>
        <v>0</v>
      </c>
      <c r="D10">
        <f>D11*J3</f>
        <v>20572</v>
      </c>
      <c r="E10">
        <f>E11*K3</f>
        <v>18663.04</v>
      </c>
    </row>
    <row r="11" spans="1:14" x14ac:dyDescent="0.3">
      <c r="A11" s="1" t="s">
        <v>10</v>
      </c>
      <c r="B11">
        <f>B12+B13</f>
        <v>45</v>
      </c>
      <c r="C11">
        <f>C12+C13</f>
        <v>0</v>
      </c>
      <c r="D11">
        <f>D12+D13</f>
        <v>74</v>
      </c>
      <c r="E11">
        <f>E12+E13</f>
        <v>1928</v>
      </c>
    </row>
    <row r="12" spans="1:14" x14ac:dyDescent="0.3">
      <c r="A12" s="1" t="s">
        <v>11</v>
      </c>
      <c r="B12">
        <v>39</v>
      </c>
      <c r="C12">
        <v>0</v>
      </c>
      <c r="D12">
        <v>60</v>
      </c>
      <c r="E12">
        <v>1433</v>
      </c>
    </row>
    <row r="13" spans="1:14" x14ac:dyDescent="0.3">
      <c r="A13" s="1" t="s">
        <v>12</v>
      </c>
      <c r="B13">
        <v>6</v>
      </c>
      <c r="C13">
        <v>0</v>
      </c>
      <c r="D13">
        <v>14</v>
      </c>
      <c r="E13">
        <v>495</v>
      </c>
    </row>
    <row r="14" spans="1:14" x14ac:dyDescent="0.3">
      <c r="A14" s="1" t="s">
        <v>17</v>
      </c>
      <c r="B14">
        <f>ROUND(B13*H3,0)</f>
        <v>1776</v>
      </c>
      <c r="C14">
        <f>ROUND(C13*I3,0)</f>
        <v>0</v>
      </c>
      <c r="D14">
        <f>ROUND(D13*J3,0)</f>
        <v>3892</v>
      </c>
      <c r="E14">
        <f>ROUND(E13*K3,0)</f>
        <v>4792</v>
      </c>
    </row>
    <row r="16" spans="1:14" x14ac:dyDescent="0.3">
      <c r="A16" s="4" t="s">
        <v>18</v>
      </c>
      <c r="B16">
        <v>1.65</v>
      </c>
    </row>
    <row r="17" spans="1:2" x14ac:dyDescent="0.3">
      <c r="A17" s="4" t="s">
        <v>19</v>
      </c>
      <c r="B17">
        <v>5.08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7"/>
  <sheetViews>
    <sheetView workbookViewId="0">
      <selection activeCell="L4" sqref="L4"/>
    </sheetView>
  </sheetViews>
  <sheetFormatPr defaultRowHeight="15" x14ac:dyDescent="0.3"/>
  <cols>
    <col min="1" max="1" width="30.75" bestFit="1" customWidth="1"/>
    <col min="2" max="2" width="12.75" bestFit="1" customWidth="1"/>
    <col min="3" max="3" width="13.375" bestFit="1" customWidth="1"/>
    <col min="4" max="5" width="12.75" bestFit="1" customWidth="1"/>
    <col min="6" max="6" width="9" customWidth="1"/>
    <col min="7" max="7" width="11.125" bestFit="1" customWidth="1"/>
    <col min="8" max="12" width="9" customWidth="1"/>
    <col min="13" max="13" width="17.375" bestFit="1" customWidth="1"/>
    <col min="14" max="14" width="12.875" bestFit="1" customWidth="1"/>
  </cols>
  <sheetData>
    <row r="1" spans="1:14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3" t="s">
        <v>5</v>
      </c>
      <c r="H1" s="1" t="s">
        <v>1</v>
      </c>
      <c r="I1" s="1" t="s">
        <v>2</v>
      </c>
      <c r="J1" s="1" t="s">
        <v>3</v>
      </c>
      <c r="K1" s="1" t="s">
        <v>4</v>
      </c>
    </row>
    <row r="2" spans="1:14" x14ac:dyDescent="0.3">
      <c r="A2" s="1" t="s">
        <v>6</v>
      </c>
      <c r="B2">
        <v>0.24224933537740409</v>
      </c>
      <c r="C2">
        <v>1.6738267890348889E-7</v>
      </c>
      <c r="D2">
        <v>0.39214988443540499</v>
      </c>
      <c r="E2">
        <v>0.365600612804512</v>
      </c>
      <c r="G2" s="9">
        <v>44981</v>
      </c>
      <c r="H2">
        <v>286.5</v>
      </c>
      <c r="I2">
        <v>511</v>
      </c>
      <c r="J2">
        <v>278</v>
      </c>
      <c r="K2">
        <v>9.7100000000000009</v>
      </c>
      <c r="L2" s="2" t="s">
        <v>7</v>
      </c>
    </row>
    <row r="3" spans="1:14" x14ac:dyDescent="0.3">
      <c r="A3" s="1" t="s">
        <v>8</v>
      </c>
      <c r="B3">
        <v>15064</v>
      </c>
      <c r="C3">
        <v>0</v>
      </c>
      <c r="D3">
        <v>24386</v>
      </c>
      <c r="E3">
        <v>22735</v>
      </c>
      <c r="G3" s="9">
        <v>44993</v>
      </c>
      <c r="H3">
        <v>298.5</v>
      </c>
      <c r="I3">
        <v>521</v>
      </c>
      <c r="J3">
        <v>287</v>
      </c>
      <c r="K3">
        <v>9.76</v>
      </c>
      <c r="L3" s="5" t="s">
        <v>9</v>
      </c>
    </row>
    <row r="4" spans="1:14" x14ac:dyDescent="0.3">
      <c r="A4" s="1" t="s">
        <v>10</v>
      </c>
      <c r="B4">
        <v>52.579406631762652</v>
      </c>
      <c r="C4">
        <v>0</v>
      </c>
      <c r="D4">
        <v>87.719424460431654</v>
      </c>
      <c r="E4">
        <v>2341.4006179196699</v>
      </c>
      <c r="G4" s="9">
        <v>45016</v>
      </c>
      <c r="H4">
        <v>301</v>
      </c>
      <c r="I4">
        <v>533</v>
      </c>
      <c r="J4">
        <v>272.5</v>
      </c>
      <c r="K4">
        <v>9.68</v>
      </c>
      <c r="L4" s="5" t="s">
        <v>41</v>
      </c>
    </row>
    <row r="5" spans="1:14" x14ac:dyDescent="0.3">
      <c r="A5" s="1" t="s">
        <v>11</v>
      </c>
      <c r="B5">
        <v>45</v>
      </c>
      <c r="C5">
        <v>0</v>
      </c>
      <c r="D5">
        <v>74</v>
      </c>
      <c r="E5">
        <v>1928</v>
      </c>
    </row>
    <row r="6" spans="1:14" x14ac:dyDescent="0.3">
      <c r="A6" s="1" t="s">
        <v>12</v>
      </c>
      <c r="B6">
        <v>7.5794066317626516</v>
      </c>
      <c r="C6">
        <v>0</v>
      </c>
      <c r="D6">
        <v>13.71942446043165</v>
      </c>
      <c r="E6">
        <v>413.40061791967042</v>
      </c>
      <c r="G6" s="3" t="s">
        <v>8</v>
      </c>
      <c r="H6" s="1" t="s">
        <v>1</v>
      </c>
      <c r="I6" s="1" t="s">
        <v>2</v>
      </c>
      <c r="J6" s="1" t="s">
        <v>3</v>
      </c>
      <c r="K6" s="1" t="s">
        <v>4</v>
      </c>
      <c r="L6" s="1" t="s">
        <v>13</v>
      </c>
      <c r="M6" s="1" t="s">
        <v>14</v>
      </c>
      <c r="N6" s="1" t="s">
        <v>15</v>
      </c>
    </row>
    <row r="7" spans="1:14" x14ac:dyDescent="0.3">
      <c r="G7" s="9">
        <v>44981</v>
      </c>
      <c r="H7">
        <f>B5*H2</f>
        <v>12892.5</v>
      </c>
      <c r="I7">
        <f>C5*I2</f>
        <v>0</v>
      </c>
      <c r="J7">
        <f>D5*J2</f>
        <v>20572</v>
      </c>
      <c r="K7">
        <f>E5*K2</f>
        <v>18720.88</v>
      </c>
      <c r="L7">
        <f>SUM(H7:K7)</f>
        <v>52185.380000000005</v>
      </c>
      <c r="M7">
        <f>'20230208'!M8</f>
        <v>49952</v>
      </c>
      <c r="N7">
        <f>(L7/M7 - 1) * 100</f>
        <v>4.4710522101217176</v>
      </c>
    </row>
    <row r="8" spans="1:14" x14ac:dyDescent="0.3">
      <c r="A8" s="2" t="s">
        <v>16</v>
      </c>
      <c r="B8" s="1" t="s">
        <v>1</v>
      </c>
      <c r="C8" s="1" t="s">
        <v>2</v>
      </c>
      <c r="D8" s="1" t="s">
        <v>3</v>
      </c>
      <c r="E8" s="1" t="s">
        <v>4</v>
      </c>
      <c r="G8" s="9">
        <v>44993</v>
      </c>
      <c r="H8">
        <f>B11*H3</f>
        <v>15522</v>
      </c>
      <c r="I8">
        <f>C11*I3</f>
        <v>0</v>
      </c>
      <c r="J8">
        <f>D11*J3</f>
        <v>25256</v>
      </c>
      <c r="K8">
        <f>E11*K3</f>
        <v>22848.16</v>
      </c>
      <c r="L8">
        <f>SUM(H8:K8)</f>
        <v>63626.16</v>
      </c>
      <c r="M8">
        <f>ROUNDUP(M7+B13*H3+C13*I3+D13*J3+E13*K3, 0)+4</f>
        <v>60095</v>
      </c>
      <c r="N8">
        <f>(L8/M8 - 1) * 100</f>
        <v>5.8759630584907185</v>
      </c>
    </row>
    <row r="9" spans="1:14" x14ac:dyDescent="0.3">
      <c r="A9" s="1" t="s">
        <v>6</v>
      </c>
      <c r="B9">
        <f>B10/L8</f>
        <v>0.2439562595008091</v>
      </c>
      <c r="C9">
        <f>C10/L8</f>
        <v>0</v>
      </c>
      <c r="D9">
        <f>D10/L8</f>
        <v>0.39694364707849727</v>
      </c>
      <c r="E9">
        <f>E10/L8</f>
        <v>0.3591000934206936</v>
      </c>
      <c r="G9" s="9">
        <v>45016</v>
      </c>
      <c r="H9">
        <f>B11*H4</f>
        <v>15652</v>
      </c>
      <c r="I9">
        <f>C11*I4</f>
        <v>0</v>
      </c>
      <c r="J9">
        <f>D11*J4</f>
        <v>23980</v>
      </c>
      <c r="K9">
        <f>E11*K4</f>
        <v>22660.880000000001</v>
      </c>
      <c r="L9">
        <f>SUM(H9:K9)</f>
        <v>62292.880000000005</v>
      </c>
      <c r="M9">
        <f>M8</f>
        <v>60095</v>
      </c>
      <c r="N9">
        <f>(L9/M9 - 1) * 100</f>
        <v>3.6573425409768046</v>
      </c>
    </row>
    <row r="10" spans="1:14" x14ac:dyDescent="0.3">
      <c r="A10" s="1" t="s">
        <v>8</v>
      </c>
      <c r="B10">
        <f>B11*H3</f>
        <v>15522</v>
      </c>
      <c r="C10">
        <f>C11*I3</f>
        <v>0</v>
      </c>
      <c r="D10">
        <f>D11*J3</f>
        <v>25256</v>
      </c>
      <c r="E10">
        <f>E11*K3</f>
        <v>22848.16</v>
      </c>
    </row>
    <row r="11" spans="1:14" x14ac:dyDescent="0.3">
      <c r="A11" s="1" t="s">
        <v>10</v>
      </c>
      <c r="B11">
        <f>B12+B13</f>
        <v>52</v>
      </c>
      <c r="C11">
        <f>C12+C13</f>
        <v>0</v>
      </c>
      <c r="D11">
        <f>D12+D13</f>
        <v>88</v>
      </c>
      <c r="E11">
        <f>E12+E13</f>
        <v>2341</v>
      </c>
    </row>
    <row r="12" spans="1:14" x14ac:dyDescent="0.3">
      <c r="A12" s="1" t="s">
        <v>11</v>
      </c>
      <c r="B12">
        <v>45</v>
      </c>
      <c r="C12">
        <v>0</v>
      </c>
      <c r="D12">
        <v>74</v>
      </c>
      <c r="E12">
        <v>1928</v>
      </c>
    </row>
    <row r="13" spans="1:14" x14ac:dyDescent="0.3">
      <c r="A13" s="1" t="s">
        <v>12</v>
      </c>
      <c r="B13">
        <v>7</v>
      </c>
      <c r="C13">
        <v>0</v>
      </c>
      <c r="D13">
        <v>14</v>
      </c>
      <c r="E13">
        <v>413</v>
      </c>
    </row>
    <row r="14" spans="1:14" x14ac:dyDescent="0.3">
      <c r="A14" s="1" t="s">
        <v>17</v>
      </c>
      <c r="B14">
        <f>ROUND(B13*H3,0)</f>
        <v>2090</v>
      </c>
      <c r="C14">
        <f>ROUND(C13*I3,0)</f>
        <v>0</v>
      </c>
      <c r="D14">
        <f>ROUND(D13*J3,0)</f>
        <v>4018</v>
      </c>
      <c r="E14">
        <f>ROUND(E13*K3,0)</f>
        <v>4031</v>
      </c>
    </row>
    <row r="16" spans="1:14" x14ac:dyDescent="0.3">
      <c r="A16" s="4" t="s">
        <v>18</v>
      </c>
      <c r="B16">
        <v>1.65</v>
      </c>
    </row>
    <row r="17" spans="1:2" x14ac:dyDescent="0.3">
      <c r="A17" s="4" t="s">
        <v>19</v>
      </c>
      <c r="B17">
        <v>4.99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7"/>
  <sheetViews>
    <sheetView workbookViewId="0">
      <selection activeCell="L4" sqref="L4"/>
    </sheetView>
  </sheetViews>
  <sheetFormatPr defaultRowHeight="15" x14ac:dyDescent="0.3"/>
  <cols>
    <col min="1" max="1" width="30.75" bestFit="1" customWidth="1"/>
    <col min="2" max="2" width="12.75" bestFit="1" customWidth="1"/>
    <col min="3" max="3" width="13.375" bestFit="1" customWidth="1"/>
    <col min="4" max="5" width="12.75" bestFit="1" customWidth="1"/>
    <col min="6" max="6" width="9" customWidth="1"/>
    <col min="7" max="7" width="11.125" bestFit="1" customWidth="1"/>
    <col min="8" max="12" width="9" customWidth="1"/>
    <col min="13" max="13" width="17.375" bestFit="1" customWidth="1"/>
    <col min="14" max="14" width="12.875" bestFit="1" customWidth="1"/>
  </cols>
  <sheetData>
    <row r="1" spans="1:14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3" t="s">
        <v>5</v>
      </c>
      <c r="H1" s="1" t="s">
        <v>1</v>
      </c>
      <c r="I1" s="1" t="s">
        <v>2</v>
      </c>
      <c r="J1" s="1" t="s">
        <v>3</v>
      </c>
      <c r="K1" s="1" t="s">
        <v>4</v>
      </c>
    </row>
    <row r="2" spans="1:14" x14ac:dyDescent="0.3">
      <c r="A2" s="1" t="s">
        <v>6</v>
      </c>
      <c r="B2">
        <v>0.26726071906707838</v>
      </c>
      <c r="C2">
        <v>1.4648839824668209E-7</v>
      </c>
      <c r="D2">
        <v>0.38295436861021681</v>
      </c>
      <c r="E2">
        <v>0.34978476583430662</v>
      </c>
      <c r="G2" s="9">
        <v>45016</v>
      </c>
      <c r="H2">
        <v>301</v>
      </c>
      <c r="I2">
        <v>533</v>
      </c>
      <c r="J2">
        <v>272.5</v>
      </c>
      <c r="K2">
        <v>9.68</v>
      </c>
      <c r="L2" s="2" t="s">
        <v>7</v>
      </c>
    </row>
    <row r="3" spans="1:14" x14ac:dyDescent="0.3">
      <c r="A3" s="1" t="s">
        <v>8</v>
      </c>
      <c r="B3">
        <v>19321</v>
      </c>
      <c r="C3">
        <v>0</v>
      </c>
      <c r="D3">
        <v>27685</v>
      </c>
      <c r="E3">
        <v>25287</v>
      </c>
      <c r="G3" s="9">
        <v>45023</v>
      </c>
      <c r="H3">
        <v>294</v>
      </c>
      <c r="I3">
        <v>531</v>
      </c>
      <c r="J3">
        <v>272</v>
      </c>
      <c r="K3">
        <v>9.84</v>
      </c>
      <c r="L3" s="5" t="s">
        <v>9</v>
      </c>
    </row>
    <row r="4" spans="1:14" x14ac:dyDescent="0.3">
      <c r="A4" s="1" t="s">
        <v>10</v>
      </c>
      <c r="B4">
        <v>64.189368770764119</v>
      </c>
      <c r="C4">
        <v>0</v>
      </c>
      <c r="D4">
        <v>101.59633027522941</v>
      </c>
      <c r="E4">
        <v>2612.2933884297522</v>
      </c>
      <c r="G4" s="9">
        <v>45044</v>
      </c>
      <c r="H4">
        <v>300</v>
      </c>
      <c r="I4">
        <v>502</v>
      </c>
      <c r="J4">
        <v>282.5</v>
      </c>
      <c r="K4">
        <v>10.25</v>
      </c>
      <c r="L4" s="5" t="s">
        <v>41</v>
      </c>
    </row>
    <row r="5" spans="1:14" x14ac:dyDescent="0.3">
      <c r="A5" s="1" t="s">
        <v>11</v>
      </c>
      <c r="B5">
        <v>52</v>
      </c>
      <c r="C5">
        <v>0</v>
      </c>
      <c r="D5">
        <v>88</v>
      </c>
      <c r="E5">
        <v>2341</v>
      </c>
    </row>
    <row r="6" spans="1:14" x14ac:dyDescent="0.3">
      <c r="A6" s="1" t="s">
        <v>12</v>
      </c>
      <c r="B6">
        <v>12.189368770764119</v>
      </c>
      <c r="C6">
        <v>0</v>
      </c>
      <c r="D6">
        <v>13.596330275229359</v>
      </c>
      <c r="E6">
        <v>271.29338842975221</v>
      </c>
      <c r="G6" s="3" t="s">
        <v>8</v>
      </c>
      <c r="H6" s="1" t="s">
        <v>1</v>
      </c>
      <c r="I6" s="1" t="s">
        <v>2</v>
      </c>
      <c r="J6" s="1" t="s">
        <v>3</v>
      </c>
      <c r="K6" s="1" t="s">
        <v>4</v>
      </c>
      <c r="L6" s="1" t="s">
        <v>13</v>
      </c>
      <c r="M6" s="1" t="s">
        <v>14</v>
      </c>
      <c r="N6" s="1" t="s">
        <v>15</v>
      </c>
    </row>
    <row r="7" spans="1:14" x14ac:dyDescent="0.3">
      <c r="G7" s="9">
        <v>45016</v>
      </c>
      <c r="H7">
        <f>B5*H2</f>
        <v>15652</v>
      </c>
      <c r="I7">
        <f>C5*I2</f>
        <v>0</v>
      </c>
      <c r="J7">
        <f>D5*J2</f>
        <v>23980</v>
      </c>
      <c r="K7">
        <f>E5*K2</f>
        <v>22660.880000000001</v>
      </c>
      <c r="L7">
        <f>SUM(H7:K7)</f>
        <v>62292.880000000005</v>
      </c>
      <c r="M7">
        <f>'20230306'!M8</f>
        <v>60095</v>
      </c>
      <c r="N7">
        <f>(L7/M7 - 1) * 100</f>
        <v>3.6573425409768046</v>
      </c>
    </row>
    <row r="8" spans="1:14" x14ac:dyDescent="0.3">
      <c r="A8" s="2" t="s">
        <v>16</v>
      </c>
      <c r="B8" s="1" t="s">
        <v>1</v>
      </c>
      <c r="C8" s="1" t="s">
        <v>2</v>
      </c>
      <c r="D8" s="1" t="s">
        <v>3</v>
      </c>
      <c r="E8" s="1" t="s">
        <v>4</v>
      </c>
      <c r="G8" s="9">
        <v>45023</v>
      </c>
      <c r="H8">
        <f>B11*H3</f>
        <v>18816</v>
      </c>
      <c r="I8">
        <f>C11*I3</f>
        <v>0</v>
      </c>
      <c r="J8">
        <f>D11*J3</f>
        <v>27744</v>
      </c>
      <c r="K8">
        <f>E11*K3</f>
        <v>25702.079999999998</v>
      </c>
      <c r="L8">
        <f>SUM(H8:K8)</f>
        <v>72262.080000000002</v>
      </c>
      <c r="M8">
        <f>ROUNDUP(M7+B13*H3+C13*I3+D13*J3+E13*K3, 0)+3</f>
        <v>70101</v>
      </c>
      <c r="N8">
        <f>(L8/M8 - 1) * 100</f>
        <v>3.0828090897419447</v>
      </c>
    </row>
    <row r="9" spans="1:14" x14ac:dyDescent="0.3">
      <c r="A9" s="1" t="s">
        <v>6</v>
      </c>
      <c r="B9">
        <f>B10/L8</f>
        <v>0.26038553000411835</v>
      </c>
      <c r="C9">
        <f>C10/L8</f>
        <v>0</v>
      </c>
      <c r="D9">
        <f>D10/L8</f>
        <v>0.38393580699586838</v>
      </c>
      <c r="E9">
        <f>E10/L8</f>
        <v>0.35567866300001327</v>
      </c>
      <c r="G9" s="9">
        <v>45044</v>
      </c>
      <c r="H9">
        <f>B11*H4</f>
        <v>19200</v>
      </c>
      <c r="I9">
        <f>C11*I4</f>
        <v>0</v>
      </c>
      <c r="J9">
        <f>D11*J4</f>
        <v>28815</v>
      </c>
      <c r="K9">
        <f>E11*K4</f>
        <v>26773</v>
      </c>
      <c r="L9">
        <f>SUM(H9:K9)</f>
        <v>74788</v>
      </c>
      <c r="M9">
        <f>M8</f>
        <v>70101</v>
      </c>
      <c r="N9">
        <f>(L9/M9 - 1) * 100</f>
        <v>6.6860672458310066</v>
      </c>
    </row>
    <row r="10" spans="1:14" x14ac:dyDescent="0.3">
      <c r="A10" s="1" t="s">
        <v>8</v>
      </c>
      <c r="B10">
        <f>B11*H3</f>
        <v>18816</v>
      </c>
      <c r="C10">
        <f>C11*I3</f>
        <v>0</v>
      </c>
      <c r="D10">
        <f>D11*J3</f>
        <v>27744</v>
      </c>
      <c r="E10">
        <f>E11*K3</f>
        <v>25702.079999999998</v>
      </c>
    </row>
    <row r="11" spans="1:14" x14ac:dyDescent="0.3">
      <c r="A11" s="1" t="s">
        <v>10</v>
      </c>
      <c r="B11">
        <f>B12+B13</f>
        <v>64</v>
      </c>
      <c r="C11">
        <f>C12+C13</f>
        <v>0</v>
      </c>
      <c r="D11">
        <f>D12+D13</f>
        <v>102</v>
      </c>
      <c r="E11">
        <f>E12+E13</f>
        <v>2612</v>
      </c>
    </row>
    <row r="12" spans="1:14" x14ac:dyDescent="0.3">
      <c r="A12" s="1" t="s">
        <v>11</v>
      </c>
      <c r="B12">
        <v>52</v>
      </c>
      <c r="C12">
        <v>0</v>
      </c>
      <c r="D12">
        <v>88</v>
      </c>
      <c r="E12">
        <v>2341</v>
      </c>
    </row>
    <row r="13" spans="1:14" x14ac:dyDescent="0.3">
      <c r="A13" s="1" t="s">
        <v>12</v>
      </c>
      <c r="B13">
        <v>12</v>
      </c>
      <c r="C13">
        <v>0</v>
      </c>
      <c r="D13">
        <v>14</v>
      </c>
      <c r="E13">
        <v>271</v>
      </c>
    </row>
    <row r="14" spans="1:14" x14ac:dyDescent="0.3">
      <c r="A14" s="1" t="s">
        <v>17</v>
      </c>
      <c r="B14">
        <f>ROUND(B13*H3,0)</f>
        <v>3528</v>
      </c>
      <c r="C14">
        <f>ROUND(C13*I3,0)</f>
        <v>0</v>
      </c>
      <c r="D14">
        <f>ROUND(D13*J3,0)</f>
        <v>3808</v>
      </c>
      <c r="E14">
        <f>ROUND(E13*K3,0)</f>
        <v>2667</v>
      </c>
    </row>
    <row r="16" spans="1:14" x14ac:dyDescent="0.3">
      <c r="A16" s="4" t="s">
        <v>18</v>
      </c>
      <c r="B16">
        <v>1.65</v>
      </c>
    </row>
    <row r="17" spans="1:2" x14ac:dyDescent="0.3">
      <c r="A17" s="4" t="s">
        <v>19</v>
      </c>
      <c r="B17">
        <v>4.9800000000000004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7"/>
  <sheetViews>
    <sheetView workbookViewId="0">
      <selection activeCell="L4" sqref="L4"/>
    </sheetView>
  </sheetViews>
  <sheetFormatPr defaultRowHeight="15" x14ac:dyDescent="0.3"/>
  <cols>
    <col min="1" max="1" width="30.75" bestFit="1" customWidth="1"/>
    <col min="2" max="2" width="12.75" bestFit="1" customWidth="1"/>
    <col min="3" max="3" width="13.375" bestFit="1" customWidth="1"/>
    <col min="4" max="5" width="12.75" bestFit="1" customWidth="1"/>
    <col min="6" max="6" width="9" customWidth="1"/>
    <col min="7" max="7" width="11.125" bestFit="1" customWidth="1"/>
    <col min="8" max="12" width="9" customWidth="1"/>
    <col min="13" max="13" width="17.375" bestFit="1" customWidth="1"/>
    <col min="14" max="14" width="12.875" bestFit="1" customWidth="1"/>
  </cols>
  <sheetData>
    <row r="1" spans="1:14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3" t="s">
        <v>5</v>
      </c>
      <c r="H1" s="1" t="s">
        <v>1</v>
      </c>
      <c r="I1" s="1" t="s">
        <v>2</v>
      </c>
      <c r="J1" s="1" t="s">
        <v>3</v>
      </c>
      <c r="K1" s="1" t="s">
        <v>4</v>
      </c>
    </row>
    <row r="2" spans="1:14" x14ac:dyDescent="0.3">
      <c r="A2" s="1" t="s">
        <v>6</v>
      </c>
      <c r="B2">
        <v>0.23633078022254919</v>
      </c>
      <c r="C2">
        <v>1.6089926296097631E-7</v>
      </c>
      <c r="D2">
        <v>0.38084320798788168</v>
      </c>
      <c r="E2">
        <v>0.38282585089030607</v>
      </c>
      <c r="G2" s="9">
        <v>45044</v>
      </c>
      <c r="H2">
        <v>300</v>
      </c>
      <c r="I2">
        <v>502</v>
      </c>
      <c r="J2">
        <v>282.5</v>
      </c>
      <c r="K2">
        <v>10.25</v>
      </c>
      <c r="L2" s="2" t="s">
        <v>7</v>
      </c>
    </row>
    <row r="3" spans="1:14" x14ac:dyDescent="0.3">
      <c r="A3" s="1" t="s">
        <v>8</v>
      </c>
      <c r="B3">
        <v>20038</v>
      </c>
      <c r="C3">
        <v>0</v>
      </c>
      <c r="D3">
        <v>32291</v>
      </c>
      <c r="E3">
        <v>32459</v>
      </c>
      <c r="G3" s="9">
        <v>45054</v>
      </c>
      <c r="H3">
        <v>303</v>
      </c>
      <c r="I3">
        <v>504</v>
      </c>
      <c r="J3">
        <v>288.5</v>
      </c>
      <c r="K3">
        <v>9.98</v>
      </c>
      <c r="L3" s="5" t="s">
        <v>9</v>
      </c>
    </row>
    <row r="4" spans="1:14" x14ac:dyDescent="0.3">
      <c r="A4" s="1" t="s">
        <v>10</v>
      </c>
      <c r="B4">
        <v>66.793333333333337</v>
      </c>
      <c r="C4">
        <v>0</v>
      </c>
      <c r="D4">
        <v>114.3044247787611</v>
      </c>
      <c r="E4">
        <v>3166.731707317073</v>
      </c>
      <c r="G4" s="9">
        <v>45077</v>
      </c>
      <c r="H4">
        <v>316.5</v>
      </c>
      <c r="I4">
        <v>558</v>
      </c>
      <c r="J4">
        <v>305</v>
      </c>
      <c r="K4">
        <v>10.3</v>
      </c>
      <c r="L4" s="5" t="s">
        <v>41</v>
      </c>
    </row>
    <row r="5" spans="1:14" x14ac:dyDescent="0.3">
      <c r="A5" s="1" t="s">
        <v>11</v>
      </c>
      <c r="B5">
        <v>64</v>
      </c>
      <c r="C5">
        <v>0</v>
      </c>
      <c r="D5">
        <v>102</v>
      </c>
      <c r="E5">
        <v>2612</v>
      </c>
    </row>
    <row r="6" spans="1:14" x14ac:dyDescent="0.3">
      <c r="A6" s="1" t="s">
        <v>12</v>
      </c>
      <c r="B6">
        <v>2.793333333333337</v>
      </c>
      <c r="C6">
        <v>0</v>
      </c>
      <c r="D6">
        <v>12.30442477876106</v>
      </c>
      <c r="E6">
        <v>554.73170731707296</v>
      </c>
      <c r="G6" s="3" t="s">
        <v>8</v>
      </c>
      <c r="H6" s="1" t="s">
        <v>1</v>
      </c>
      <c r="I6" s="1" t="s">
        <v>2</v>
      </c>
      <c r="J6" s="1" t="s">
        <v>3</v>
      </c>
      <c r="K6" s="1" t="s">
        <v>4</v>
      </c>
      <c r="L6" s="1" t="s">
        <v>13</v>
      </c>
      <c r="M6" s="1" t="s">
        <v>14</v>
      </c>
      <c r="N6" s="1" t="s">
        <v>15</v>
      </c>
    </row>
    <row r="7" spans="1:14" x14ac:dyDescent="0.3">
      <c r="G7" s="9">
        <v>45044</v>
      </c>
      <c r="H7">
        <f>B5*H2</f>
        <v>19200</v>
      </c>
      <c r="I7">
        <f>C5*I2</f>
        <v>0</v>
      </c>
      <c r="J7">
        <f>D5*J2</f>
        <v>28815</v>
      </c>
      <c r="K7">
        <f>E5*K2</f>
        <v>26773</v>
      </c>
      <c r="L7">
        <f>SUM(H7:K7)</f>
        <v>74788</v>
      </c>
      <c r="M7">
        <f>'20230407'!M8</f>
        <v>70101</v>
      </c>
      <c r="N7">
        <f>(L7/M7 - 1) * 100</f>
        <v>6.6860672458310066</v>
      </c>
    </row>
    <row r="8" spans="1:14" x14ac:dyDescent="0.3">
      <c r="A8" s="2" t="s">
        <v>16</v>
      </c>
      <c r="B8" s="1" t="s">
        <v>1</v>
      </c>
      <c r="C8" s="1" t="s">
        <v>2</v>
      </c>
      <c r="D8" s="1" t="s">
        <v>3</v>
      </c>
      <c r="E8" s="1" t="s">
        <v>4</v>
      </c>
      <c r="G8" s="9">
        <v>45054</v>
      </c>
      <c r="H8">
        <f>B11*H3</f>
        <v>20301</v>
      </c>
      <c r="I8">
        <f>C11*I3</f>
        <v>0</v>
      </c>
      <c r="J8">
        <f>D11*J3</f>
        <v>32889</v>
      </c>
      <c r="K8">
        <f>E11*K3</f>
        <v>31606.66</v>
      </c>
      <c r="L8">
        <f>SUM(H8:K8)</f>
        <v>84796.66</v>
      </c>
      <c r="M8">
        <f>ROUNDUP(M7+B13*H3+C13*I3+D13*J3+E13*K3, 0)+3</f>
        <v>80014</v>
      </c>
      <c r="N8">
        <f>(L8/M8 - 1) * 100</f>
        <v>5.9772789761791678</v>
      </c>
    </row>
    <row r="9" spans="1:14" x14ac:dyDescent="0.3">
      <c r="A9" s="1" t="s">
        <v>6</v>
      </c>
      <c r="B9">
        <f>B10/L8</f>
        <v>0.23940801441943585</v>
      </c>
      <c r="C9">
        <f>C10/L8</f>
        <v>0</v>
      </c>
      <c r="D9">
        <f>D10/L8</f>
        <v>0.38785725758538131</v>
      </c>
      <c r="E9">
        <f>E10/L8</f>
        <v>0.37273472799518281</v>
      </c>
      <c r="G9" s="9">
        <v>45077</v>
      </c>
      <c r="H9">
        <f>B11*H4</f>
        <v>21205.5</v>
      </c>
      <c r="I9">
        <f>C11*I4</f>
        <v>0</v>
      </c>
      <c r="J9">
        <f>D11*J4</f>
        <v>34770</v>
      </c>
      <c r="K9">
        <f>E11*K4</f>
        <v>32620.100000000002</v>
      </c>
      <c r="L9">
        <f>SUM(H9:K9)</f>
        <v>88595.6</v>
      </c>
      <c r="M9">
        <f>M8</f>
        <v>80014</v>
      </c>
      <c r="N9">
        <f>(L9/M9 - 1) * 100</f>
        <v>10.725123103456902</v>
      </c>
    </row>
    <row r="10" spans="1:14" x14ac:dyDescent="0.3">
      <c r="A10" s="1" t="s">
        <v>8</v>
      </c>
      <c r="B10">
        <f>B11*H3</f>
        <v>20301</v>
      </c>
      <c r="C10">
        <f>C11*I3</f>
        <v>0</v>
      </c>
      <c r="D10">
        <f>D11*J3</f>
        <v>32889</v>
      </c>
      <c r="E10">
        <f>E11*K3</f>
        <v>31606.66</v>
      </c>
    </row>
    <row r="11" spans="1:14" x14ac:dyDescent="0.3">
      <c r="A11" s="1" t="s">
        <v>10</v>
      </c>
      <c r="B11">
        <f>B12+B13</f>
        <v>67</v>
      </c>
      <c r="C11">
        <f>C12+C13</f>
        <v>0</v>
      </c>
      <c r="D11">
        <f>D12+D13</f>
        <v>114</v>
      </c>
      <c r="E11">
        <f>E12+E13</f>
        <v>3167</v>
      </c>
    </row>
    <row r="12" spans="1:14" x14ac:dyDescent="0.3">
      <c r="A12" s="1" t="s">
        <v>11</v>
      </c>
      <c r="B12">
        <v>64</v>
      </c>
      <c r="C12">
        <v>0</v>
      </c>
      <c r="D12">
        <v>102</v>
      </c>
      <c r="E12">
        <v>2612</v>
      </c>
    </row>
    <row r="13" spans="1:14" x14ac:dyDescent="0.3">
      <c r="A13" s="1" t="s">
        <v>12</v>
      </c>
      <c r="B13">
        <v>3</v>
      </c>
      <c r="C13">
        <v>0</v>
      </c>
      <c r="D13">
        <v>12</v>
      </c>
      <c r="E13">
        <v>555</v>
      </c>
    </row>
    <row r="14" spans="1:14" x14ac:dyDescent="0.3">
      <c r="A14" s="1" t="s">
        <v>17</v>
      </c>
      <c r="B14">
        <f>ROUND(B13*H3,0)</f>
        <v>909</v>
      </c>
      <c r="C14">
        <f>ROUND(C13*I3,0)</f>
        <v>0</v>
      </c>
      <c r="D14">
        <f>ROUND(D13*J3,0)</f>
        <v>3462</v>
      </c>
      <c r="E14">
        <f>ROUND(E13*K3,0)</f>
        <v>5539</v>
      </c>
    </row>
    <row r="16" spans="1:14" x14ac:dyDescent="0.3">
      <c r="A16" s="4" t="s">
        <v>18</v>
      </c>
      <c r="B16">
        <v>1.65</v>
      </c>
    </row>
    <row r="17" spans="1:2" x14ac:dyDescent="0.3">
      <c r="A17" s="4" t="s">
        <v>19</v>
      </c>
      <c r="B17">
        <v>4.87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7"/>
  <sheetViews>
    <sheetView workbookViewId="0">
      <selection activeCell="L4" sqref="L4"/>
    </sheetView>
  </sheetViews>
  <sheetFormatPr defaultRowHeight="15" x14ac:dyDescent="0.3"/>
  <cols>
    <col min="1" max="1" width="30.75" bestFit="1" customWidth="1"/>
    <col min="2" max="2" width="12.75" bestFit="1" customWidth="1"/>
    <col min="3" max="3" width="13.375" bestFit="1" customWidth="1"/>
    <col min="4" max="5" width="12.75" bestFit="1" customWidth="1"/>
    <col min="6" max="6" width="9" customWidth="1"/>
    <col min="7" max="7" width="11.125" bestFit="1" customWidth="1"/>
    <col min="8" max="12" width="9" customWidth="1"/>
    <col min="13" max="13" width="17.375" bestFit="1" customWidth="1"/>
    <col min="14" max="14" width="12.875" bestFit="1" customWidth="1"/>
  </cols>
  <sheetData>
    <row r="1" spans="1:14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3" t="s">
        <v>5</v>
      </c>
      <c r="H1" s="1" t="s">
        <v>1</v>
      </c>
      <c r="I1" s="1" t="s">
        <v>2</v>
      </c>
      <c r="J1" s="1" t="s">
        <v>3</v>
      </c>
      <c r="K1" s="1" t="s">
        <v>4</v>
      </c>
    </row>
    <row r="2" spans="1:14" x14ac:dyDescent="0.3">
      <c r="A2" s="1" t="s">
        <v>6</v>
      </c>
      <c r="B2">
        <v>0.18973805167900171</v>
      </c>
      <c r="C2">
        <v>2.31988984592896E-6</v>
      </c>
      <c r="D2">
        <v>0.37721828996279771</v>
      </c>
      <c r="E2">
        <v>0.4330413384683548</v>
      </c>
      <c r="G2" s="9">
        <v>45077</v>
      </c>
      <c r="H2">
        <v>316.5</v>
      </c>
      <c r="I2">
        <v>558</v>
      </c>
      <c r="J2">
        <v>305</v>
      </c>
      <c r="K2">
        <v>10.3</v>
      </c>
      <c r="L2" s="2" t="s">
        <v>7</v>
      </c>
    </row>
    <row r="3" spans="1:14" x14ac:dyDescent="0.3">
      <c r="A3" s="1" t="s">
        <v>8</v>
      </c>
      <c r="B3">
        <v>18707</v>
      </c>
      <c r="C3">
        <v>0</v>
      </c>
      <c r="D3">
        <v>37192</v>
      </c>
      <c r="E3">
        <v>42696</v>
      </c>
      <c r="G3" s="9">
        <v>45085</v>
      </c>
      <c r="H3">
        <v>329</v>
      </c>
      <c r="I3">
        <v>559</v>
      </c>
      <c r="J3">
        <v>312.5</v>
      </c>
      <c r="K3">
        <v>10.3</v>
      </c>
      <c r="L3" s="5" t="s">
        <v>9</v>
      </c>
    </row>
    <row r="4" spans="1:14" x14ac:dyDescent="0.3">
      <c r="A4" s="1" t="s">
        <v>10</v>
      </c>
      <c r="B4">
        <v>59.105845181674567</v>
      </c>
      <c r="C4">
        <v>0</v>
      </c>
      <c r="D4">
        <v>121.9409836065574</v>
      </c>
      <c r="E4">
        <v>4145.2427184466014</v>
      </c>
      <c r="G4" s="9">
        <v>45107</v>
      </c>
      <c r="H4">
        <v>339.66</v>
      </c>
      <c r="I4">
        <v>570.33000000000004</v>
      </c>
      <c r="J4">
        <v>314</v>
      </c>
      <c r="K4">
        <v>10.050000000000001</v>
      </c>
      <c r="L4" s="5" t="s">
        <v>41</v>
      </c>
    </row>
    <row r="5" spans="1:14" x14ac:dyDescent="0.3">
      <c r="A5" s="1" t="s">
        <v>11</v>
      </c>
      <c r="B5">
        <v>67</v>
      </c>
      <c r="C5">
        <v>0</v>
      </c>
      <c r="D5">
        <v>114</v>
      </c>
      <c r="E5">
        <v>3167</v>
      </c>
    </row>
    <row r="6" spans="1:14" x14ac:dyDescent="0.3">
      <c r="A6" s="1" t="s">
        <v>12</v>
      </c>
      <c r="B6">
        <v>-7.8941548183254326</v>
      </c>
      <c r="C6">
        <v>0</v>
      </c>
      <c r="D6">
        <v>7.9409836065573813</v>
      </c>
      <c r="E6">
        <v>978.24271844660143</v>
      </c>
      <c r="G6" s="3" t="s">
        <v>8</v>
      </c>
      <c r="H6" s="1" t="s">
        <v>1</v>
      </c>
      <c r="I6" s="1" t="s">
        <v>2</v>
      </c>
      <c r="J6" s="1" t="s">
        <v>3</v>
      </c>
      <c r="K6" s="1" t="s">
        <v>4</v>
      </c>
      <c r="L6" s="1" t="s">
        <v>13</v>
      </c>
      <c r="M6" s="1" t="s">
        <v>14</v>
      </c>
      <c r="N6" s="1" t="s">
        <v>15</v>
      </c>
    </row>
    <row r="7" spans="1:14" x14ac:dyDescent="0.3">
      <c r="G7" s="9">
        <v>45077</v>
      </c>
      <c r="H7">
        <f>B5*H2</f>
        <v>21205.5</v>
      </c>
      <c r="I7">
        <f>C5*I2</f>
        <v>0</v>
      </c>
      <c r="J7">
        <f>D5*J2</f>
        <v>34770</v>
      </c>
      <c r="K7">
        <f>E5*K2</f>
        <v>32620.100000000002</v>
      </c>
      <c r="L7">
        <f>SUM(H7:K7)</f>
        <v>88595.6</v>
      </c>
      <c r="M7">
        <f>'20230508'!M8</f>
        <v>80014</v>
      </c>
      <c r="N7">
        <f>(L7/M7 - 1) * 100</f>
        <v>10.725123103456902</v>
      </c>
    </row>
    <row r="8" spans="1:14" x14ac:dyDescent="0.3">
      <c r="A8" s="2" t="s">
        <v>16</v>
      </c>
      <c r="B8" s="1" t="s">
        <v>1</v>
      </c>
      <c r="C8" s="1" t="s">
        <v>2</v>
      </c>
      <c r="D8" s="1" t="s">
        <v>3</v>
      </c>
      <c r="E8" s="1" t="s">
        <v>4</v>
      </c>
      <c r="G8" s="9">
        <v>45085</v>
      </c>
      <c r="H8">
        <f>B11*H3</f>
        <v>19411</v>
      </c>
      <c r="I8">
        <f>C11*I3</f>
        <v>0</v>
      </c>
      <c r="J8">
        <f>D11*J3</f>
        <v>38125</v>
      </c>
      <c r="K8">
        <f>E11*K3</f>
        <v>42693.5</v>
      </c>
      <c r="L8">
        <f>SUM(H8:K8)</f>
        <v>100229.5</v>
      </c>
      <c r="M8">
        <f>ROUNDUP(M7+B13*H3+C13*I3+D13*J3+E13*K3, 0)+13</f>
        <v>89969</v>
      </c>
      <c r="N8">
        <f>(L8/M8 - 1) * 100</f>
        <v>11.404483766630724</v>
      </c>
    </row>
    <row r="9" spans="1:14" x14ac:dyDescent="0.3">
      <c r="A9" s="1" t="s">
        <v>6</v>
      </c>
      <c r="B9">
        <f>B10/$L$8</f>
        <v>0.19366553759122812</v>
      </c>
      <c r="C9">
        <f>C10/$L$8</f>
        <v>0</v>
      </c>
      <c r="D9">
        <f>D10/$L$8</f>
        <v>0.38037703470535122</v>
      </c>
      <c r="E9">
        <f>E10/$L$8</f>
        <v>0.42595742770342065</v>
      </c>
      <c r="G9" s="9">
        <v>45107</v>
      </c>
      <c r="H9">
        <f>B11*H4</f>
        <v>20039.940000000002</v>
      </c>
      <c r="I9">
        <f>C11*I4</f>
        <v>0</v>
      </c>
      <c r="J9">
        <f>D11*J4</f>
        <v>38308</v>
      </c>
      <c r="K9">
        <f>E11*K4</f>
        <v>41657.25</v>
      </c>
      <c r="L9">
        <f>SUM(H9:K9)+H13</f>
        <v>100575.19</v>
      </c>
      <c r="M9">
        <f>M8</f>
        <v>89969</v>
      </c>
      <c r="N9">
        <f>(L9/M9 - 1) * 100</f>
        <v>11.788716113327924</v>
      </c>
    </row>
    <row r="10" spans="1:14" x14ac:dyDescent="0.3">
      <c r="A10" s="1" t="s">
        <v>8</v>
      </c>
      <c r="B10">
        <f>B11*H3</f>
        <v>19411</v>
      </c>
      <c r="C10">
        <f>C11*I3</f>
        <v>0</v>
      </c>
      <c r="D10">
        <f>D11*J3</f>
        <v>38125</v>
      </c>
      <c r="E10">
        <f>E11*K3</f>
        <v>42693.5</v>
      </c>
    </row>
    <row r="11" spans="1:14" x14ac:dyDescent="0.3">
      <c r="A11" s="1" t="s">
        <v>10</v>
      </c>
      <c r="B11">
        <f>B12+B13</f>
        <v>59</v>
      </c>
      <c r="C11">
        <f>C12+C13</f>
        <v>0</v>
      </c>
      <c r="D11">
        <f>D12+D13</f>
        <v>122</v>
      </c>
      <c r="E11">
        <f>E12+E13</f>
        <v>4145</v>
      </c>
    </row>
    <row r="12" spans="1:14" x14ac:dyDescent="0.3">
      <c r="A12" s="1" t="s">
        <v>11</v>
      </c>
      <c r="B12">
        <v>67</v>
      </c>
      <c r="C12">
        <v>0</v>
      </c>
      <c r="D12">
        <v>114</v>
      </c>
      <c r="E12">
        <v>3167</v>
      </c>
      <c r="G12" s="6" t="s">
        <v>20</v>
      </c>
    </row>
    <row r="13" spans="1:14" x14ac:dyDescent="0.3">
      <c r="A13" s="1" t="s">
        <v>12</v>
      </c>
      <c r="B13">
        <v>-8</v>
      </c>
      <c r="C13">
        <v>0</v>
      </c>
      <c r="D13">
        <v>8</v>
      </c>
      <c r="E13">
        <v>978</v>
      </c>
      <c r="G13" t="s">
        <v>21</v>
      </c>
      <c r="H13">
        <v>570</v>
      </c>
    </row>
    <row r="14" spans="1:14" x14ac:dyDescent="0.3">
      <c r="A14" s="1" t="s">
        <v>17</v>
      </c>
      <c r="B14">
        <f>ROUND(B13*H3,0)</f>
        <v>-2632</v>
      </c>
      <c r="C14">
        <f>ROUND(C13*I3,0)</f>
        <v>0</v>
      </c>
      <c r="D14">
        <f>ROUND(D13*J3,0)</f>
        <v>2500</v>
      </c>
      <c r="E14">
        <f>ROUND(E13*K3,0)</f>
        <v>10073</v>
      </c>
      <c r="G14" t="s">
        <v>22</v>
      </c>
      <c r="H14">
        <v>570</v>
      </c>
    </row>
    <row r="16" spans="1:14" x14ac:dyDescent="0.3">
      <c r="A16" s="4" t="s">
        <v>18</v>
      </c>
      <c r="B16">
        <v>1.65</v>
      </c>
    </row>
    <row r="17" spans="1:2" x14ac:dyDescent="0.3">
      <c r="A17" s="4" t="s">
        <v>19</v>
      </c>
      <c r="B17">
        <v>4.7699999999999996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7"/>
  <sheetViews>
    <sheetView workbookViewId="0">
      <selection activeCell="L4" sqref="L4"/>
    </sheetView>
  </sheetViews>
  <sheetFormatPr defaultRowHeight="15" x14ac:dyDescent="0.3"/>
  <cols>
    <col min="1" max="1" width="30.75" bestFit="1" customWidth="1"/>
    <col min="2" max="2" width="12.75" bestFit="1" customWidth="1"/>
    <col min="3" max="3" width="13.375" bestFit="1" customWidth="1"/>
    <col min="4" max="5" width="12.75" bestFit="1" customWidth="1"/>
    <col min="6" max="6" width="9" customWidth="1"/>
    <col min="7" max="7" width="11.125" bestFit="1" customWidth="1"/>
    <col min="8" max="12" width="9" customWidth="1"/>
    <col min="13" max="13" width="17.375" bestFit="1" customWidth="1"/>
    <col min="14" max="14" width="12.875" bestFit="1" customWidth="1"/>
  </cols>
  <sheetData>
    <row r="1" spans="1:14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3" t="s">
        <v>5</v>
      </c>
      <c r="H1" s="1" t="s">
        <v>1</v>
      </c>
      <c r="I1" s="1" t="s">
        <v>2</v>
      </c>
      <c r="J1" s="1" t="s">
        <v>3</v>
      </c>
      <c r="K1" s="1" t="s">
        <v>4</v>
      </c>
    </row>
    <row r="2" spans="1:14" x14ac:dyDescent="0.3">
      <c r="A2" s="1" t="s">
        <v>6</v>
      </c>
      <c r="B2">
        <v>0.21298899505980401</v>
      </c>
      <c r="C2">
        <v>6.6847020819649043E-8</v>
      </c>
      <c r="D2">
        <v>0.38112584308627973</v>
      </c>
      <c r="E2">
        <v>0.4058850950068954</v>
      </c>
      <c r="G2" s="9">
        <v>45107</v>
      </c>
      <c r="H2">
        <v>339.66</v>
      </c>
      <c r="I2">
        <v>570.33000000000004</v>
      </c>
      <c r="J2">
        <v>314</v>
      </c>
      <c r="K2">
        <v>10.050000000000001</v>
      </c>
      <c r="L2" s="2" t="s">
        <v>7</v>
      </c>
    </row>
    <row r="3" spans="1:14" x14ac:dyDescent="0.3">
      <c r="A3" s="1" t="s">
        <v>8</v>
      </c>
      <c r="B3">
        <v>23430</v>
      </c>
      <c r="C3">
        <v>0</v>
      </c>
      <c r="D3">
        <v>41926</v>
      </c>
      <c r="E3">
        <v>44649</v>
      </c>
      <c r="G3" s="9">
        <v>45114</v>
      </c>
      <c r="H3">
        <v>353</v>
      </c>
      <c r="I3">
        <v>565</v>
      </c>
      <c r="J3">
        <v>298</v>
      </c>
      <c r="K3">
        <v>10</v>
      </c>
      <c r="L3" s="5" t="s">
        <v>9</v>
      </c>
    </row>
    <row r="4" spans="1:14" x14ac:dyDescent="0.3">
      <c r="A4" s="1" t="s">
        <v>10</v>
      </c>
      <c r="B4">
        <v>68.980744638983154</v>
      </c>
      <c r="C4">
        <v>0</v>
      </c>
      <c r="D4">
        <v>133.5222929936306</v>
      </c>
      <c r="E4">
        <v>4442.686567164179</v>
      </c>
      <c r="G4" s="9">
        <v>45138</v>
      </c>
      <c r="H4">
        <v>365.5</v>
      </c>
      <c r="I4">
        <v>565</v>
      </c>
      <c r="J4">
        <v>364</v>
      </c>
      <c r="K4">
        <v>9.98</v>
      </c>
      <c r="L4" s="5" t="s">
        <v>41</v>
      </c>
    </row>
    <row r="5" spans="1:14" x14ac:dyDescent="0.3">
      <c r="A5" s="1" t="s">
        <v>11</v>
      </c>
      <c r="B5">
        <v>59</v>
      </c>
      <c r="C5">
        <v>0</v>
      </c>
      <c r="D5">
        <v>122</v>
      </c>
      <c r="E5">
        <v>4145</v>
      </c>
    </row>
    <row r="6" spans="1:14" x14ac:dyDescent="0.3">
      <c r="A6" s="1" t="s">
        <v>12</v>
      </c>
      <c r="B6">
        <v>9.980744638983154</v>
      </c>
      <c r="C6">
        <v>0</v>
      </c>
      <c r="D6">
        <v>11.52229299363057</v>
      </c>
      <c r="E6">
        <v>297.686567164179</v>
      </c>
      <c r="G6" s="3" t="s">
        <v>8</v>
      </c>
      <c r="H6" s="1" t="s">
        <v>1</v>
      </c>
      <c r="I6" s="1" t="s">
        <v>2</v>
      </c>
      <c r="J6" s="1" t="s">
        <v>3</v>
      </c>
      <c r="K6" s="1" t="s">
        <v>4</v>
      </c>
      <c r="L6" s="1" t="s">
        <v>13</v>
      </c>
      <c r="M6" s="1" t="s">
        <v>14</v>
      </c>
      <c r="N6" s="1" t="s">
        <v>15</v>
      </c>
    </row>
    <row r="7" spans="1:14" x14ac:dyDescent="0.3">
      <c r="G7" s="9">
        <v>45107</v>
      </c>
      <c r="H7">
        <f>B5*H2</f>
        <v>20039.940000000002</v>
      </c>
      <c r="I7">
        <f>C5*I2</f>
        <v>0</v>
      </c>
      <c r="J7">
        <f>D5*J2</f>
        <v>38308</v>
      </c>
      <c r="K7">
        <f>E5*K2</f>
        <v>41657.25</v>
      </c>
      <c r="L7">
        <f>'20230608'!L9</f>
        <v>100575.19</v>
      </c>
      <c r="M7">
        <f>'20230608'!M8</f>
        <v>89969</v>
      </c>
      <c r="N7">
        <f>(L7/M7 - 1) * 100</f>
        <v>11.788716113327924</v>
      </c>
    </row>
    <row r="8" spans="1:14" x14ac:dyDescent="0.3">
      <c r="A8" s="2" t="s">
        <v>16</v>
      </c>
      <c r="B8" s="1" t="s">
        <v>1</v>
      </c>
      <c r="C8" s="1" t="s">
        <v>2</v>
      </c>
      <c r="D8" s="1" t="s">
        <v>3</v>
      </c>
      <c r="E8" s="1" t="s">
        <v>4</v>
      </c>
      <c r="G8" s="9">
        <v>45114</v>
      </c>
      <c r="H8">
        <f>B11*H3</f>
        <v>24357</v>
      </c>
      <c r="I8">
        <f>C11*I3</f>
        <v>0</v>
      </c>
      <c r="J8">
        <f>D11*J3</f>
        <v>39634</v>
      </c>
      <c r="K8">
        <f>E11*K3</f>
        <v>44430</v>
      </c>
      <c r="L8">
        <f>SUM(H8:K8)+H14</f>
        <v>112499.34</v>
      </c>
      <c r="M8">
        <f>ROUNDUP(M7+B13*H3+C13*I3+D13*J3+E13*K3, 0)+3</f>
        <v>99760</v>
      </c>
      <c r="N8">
        <f>(L8/M8 - 1) * 100</f>
        <v>12.769987971130714</v>
      </c>
    </row>
    <row r="9" spans="1:14" x14ac:dyDescent="0.3">
      <c r="A9" s="1" t="s">
        <v>6</v>
      </c>
      <c r="B9">
        <f>B10/$L$8</f>
        <v>0.21650793684656283</v>
      </c>
      <c r="C9">
        <f>C10/$L$8</f>
        <v>0</v>
      </c>
      <c r="D9">
        <f>D10/$L$8</f>
        <v>0.35230428907405148</v>
      </c>
      <c r="E9">
        <f>E10/$L$8</f>
        <v>0.3949356502891484</v>
      </c>
      <c r="G9" s="9">
        <v>45138</v>
      </c>
      <c r="H9">
        <f>B11*H4</f>
        <v>25219.5</v>
      </c>
      <c r="I9">
        <f>C11*I4</f>
        <v>0</v>
      </c>
      <c r="J9">
        <f>D11*J4</f>
        <v>48412</v>
      </c>
      <c r="K9">
        <f>E11*K4</f>
        <v>44341.14</v>
      </c>
      <c r="L9">
        <f>SUM(H9:K9)+H14</f>
        <v>122050.98</v>
      </c>
      <c r="M9">
        <f>M8</f>
        <v>99760</v>
      </c>
      <c r="N9">
        <f>(L9/M9 - 1) * 100</f>
        <v>22.344607056936638</v>
      </c>
    </row>
    <row r="10" spans="1:14" x14ac:dyDescent="0.3">
      <c r="A10" s="1" t="s">
        <v>8</v>
      </c>
      <c r="B10">
        <f>B11*H3</f>
        <v>24357</v>
      </c>
      <c r="C10">
        <f>C11*I3</f>
        <v>0</v>
      </c>
      <c r="D10">
        <f>D11*J3</f>
        <v>39634</v>
      </c>
      <c r="E10">
        <f>E11*K3</f>
        <v>44430</v>
      </c>
    </row>
    <row r="11" spans="1:14" x14ac:dyDescent="0.3">
      <c r="A11" s="1" t="s">
        <v>10</v>
      </c>
      <c r="B11">
        <f>B12+B13</f>
        <v>69</v>
      </c>
      <c r="C11">
        <f>C12+C13</f>
        <v>0</v>
      </c>
      <c r="D11">
        <f>D12+D13</f>
        <v>133</v>
      </c>
      <c r="E11">
        <f>E12+E13</f>
        <v>4443</v>
      </c>
    </row>
    <row r="12" spans="1:14" x14ac:dyDescent="0.3">
      <c r="A12" s="1" t="s">
        <v>11</v>
      </c>
      <c r="B12">
        <v>59</v>
      </c>
      <c r="C12">
        <v>0</v>
      </c>
      <c r="D12">
        <v>122</v>
      </c>
      <c r="E12">
        <v>4145</v>
      </c>
      <c r="G12" s="6" t="s">
        <v>23</v>
      </c>
    </row>
    <row r="13" spans="1:14" x14ac:dyDescent="0.3">
      <c r="A13" s="1" t="s">
        <v>12</v>
      </c>
      <c r="B13">
        <v>10</v>
      </c>
      <c r="C13">
        <v>0</v>
      </c>
      <c r="D13">
        <v>11</v>
      </c>
      <c r="E13">
        <v>298</v>
      </c>
      <c r="G13" t="s">
        <v>24</v>
      </c>
      <c r="H13">
        <f>1820+E11*0.38</f>
        <v>3508.34</v>
      </c>
    </row>
    <row r="14" spans="1:14" x14ac:dyDescent="0.3">
      <c r="A14" s="1" t="s">
        <v>17</v>
      </c>
      <c r="B14">
        <f>ROUND(B13*H3,0)</f>
        <v>3530</v>
      </c>
      <c r="C14">
        <f>ROUND(C13*I3,0)</f>
        <v>0</v>
      </c>
      <c r="D14">
        <f>ROUND(D13*J3,0)</f>
        <v>3278</v>
      </c>
      <c r="E14">
        <f>ROUND(E13*K3,0)</f>
        <v>2980</v>
      </c>
      <c r="G14" t="s">
        <v>22</v>
      </c>
      <c r="H14">
        <f>H13+'20230608'!H14</f>
        <v>4078.34</v>
      </c>
    </row>
    <row r="16" spans="1:14" x14ac:dyDescent="0.3">
      <c r="A16" s="4" t="s">
        <v>18</v>
      </c>
      <c r="B16">
        <v>1.7</v>
      </c>
    </row>
    <row r="17" spans="1:2" x14ac:dyDescent="0.3">
      <c r="A17" s="4" t="s">
        <v>19</v>
      </c>
      <c r="B17">
        <v>4.74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8"/>
  <sheetViews>
    <sheetView workbookViewId="0">
      <selection activeCell="L4" sqref="L4"/>
    </sheetView>
  </sheetViews>
  <sheetFormatPr defaultRowHeight="15" x14ac:dyDescent="0.3"/>
  <cols>
    <col min="1" max="1" width="30.75" bestFit="1" customWidth="1"/>
    <col min="2" max="2" width="12.75" bestFit="1" customWidth="1"/>
    <col min="3" max="3" width="13.375" bestFit="1" customWidth="1"/>
    <col min="4" max="5" width="12.75" bestFit="1" customWidth="1"/>
    <col min="6" max="6" width="9" customWidth="1"/>
    <col min="7" max="7" width="11.125" bestFit="1" customWidth="1"/>
    <col min="8" max="11" width="9" customWidth="1"/>
    <col min="12" max="12" width="13.75" bestFit="1" customWidth="1"/>
    <col min="13" max="13" width="14.5" bestFit="1" customWidth="1"/>
    <col min="14" max="14" width="17.375" bestFit="1" customWidth="1"/>
    <col min="15" max="15" width="12.875" bestFit="1" customWidth="1"/>
  </cols>
  <sheetData>
    <row r="1" spans="1:15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3" t="s">
        <v>5</v>
      </c>
      <c r="H1" s="1" t="s">
        <v>1</v>
      </c>
      <c r="I1" s="1" t="s">
        <v>2</v>
      </c>
      <c r="J1" s="1" t="s">
        <v>3</v>
      </c>
      <c r="K1" s="1" t="s">
        <v>4</v>
      </c>
      <c r="L1" s="7"/>
    </row>
    <row r="2" spans="1:15" x14ac:dyDescent="0.3">
      <c r="A2" s="1" t="s">
        <v>6</v>
      </c>
      <c r="B2">
        <v>0.18217442170089421</v>
      </c>
      <c r="C2">
        <v>8.0169581371219149E-8</v>
      </c>
      <c r="D2">
        <v>0.36173345367809401</v>
      </c>
      <c r="E2">
        <v>0.45609204445143059</v>
      </c>
      <c r="G2" s="9">
        <v>45138</v>
      </c>
      <c r="H2">
        <v>365.5</v>
      </c>
      <c r="I2">
        <v>565</v>
      </c>
      <c r="J2">
        <v>364</v>
      </c>
      <c r="K2">
        <v>9.98</v>
      </c>
      <c r="L2" s="2" t="s">
        <v>7</v>
      </c>
    </row>
    <row r="3" spans="1:15" x14ac:dyDescent="0.3">
      <c r="A3" s="1" t="s">
        <v>8</v>
      </c>
      <c r="B3">
        <v>22591</v>
      </c>
      <c r="C3">
        <v>0</v>
      </c>
      <c r="D3">
        <v>44857</v>
      </c>
      <c r="E3">
        <v>56558</v>
      </c>
      <c r="G3" s="9">
        <v>45146</v>
      </c>
      <c r="H3">
        <v>364</v>
      </c>
      <c r="I3">
        <v>552</v>
      </c>
      <c r="J3">
        <v>370.5</v>
      </c>
      <c r="K3">
        <v>9.91</v>
      </c>
      <c r="L3" s="5" t="s">
        <v>9</v>
      </c>
    </row>
    <row r="4" spans="1:15" x14ac:dyDescent="0.3">
      <c r="A4" s="1" t="s">
        <v>10</v>
      </c>
      <c r="B4">
        <v>61.808481532147738</v>
      </c>
      <c r="C4">
        <v>0</v>
      </c>
      <c r="D4">
        <v>129.4469654928188</v>
      </c>
      <c r="E4">
        <v>5885.3222718105681</v>
      </c>
      <c r="G4" s="9">
        <v>45169</v>
      </c>
      <c r="H4">
        <v>346</v>
      </c>
      <c r="I4">
        <v>549</v>
      </c>
      <c r="J4">
        <v>402.5</v>
      </c>
      <c r="K4">
        <v>9.5</v>
      </c>
      <c r="L4" s="5" t="s">
        <v>41</v>
      </c>
    </row>
    <row r="5" spans="1:15" x14ac:dyDescent="0.3">
      <c r="A5" s="1" t="s">
        <v>11</v>
      </c>
      <c r="B5">
        <v>69</v>
      </c>
      <c r="C5">
        <v>0</v>
      </c>
      <c r="D5">
        <v>133</v>
      </c>
      <c r="E5">
        <v>4443</v>
      </c>
    </row>
    <row r="6" spans="1:15" x14ac:dyDescent="0.3">
      <c r="A6" s="1" t="s">
        <v>12</v>
      </c>
      <c r="B6">
        <v>-7.191518467852255</v>
      </c>
      <c r="C6">
        <v>0</v>
      </c>
      <c r="D6">
        <v>-3.5530345071811671</v>
      </c>
      <c r="E6">
        <v>1442.3222718105681</v>
      </c>
      <c r="G6" s="3" t="s">
        <v>8</v>
      </c>
      <c r="H6" s="1" t="s">
        <v>1</v>
      </c>
      <c r="I6" s="1" t="s">
        <v>2</v>
      </c>
      <c r="J6" s="1" t="s">
        <v>3</v>
      </c>
      <c r="K6" s="1" t="s">
        <v>4</v>
      </c>
      <c r="L6" s="8" t="s">
        <v>25</v>
      </c>
      <c r="M6" s="1" t="s">
        <v>26</v>
      </c>
      <c r="N6" s="1" t="s">
        <v>14</v>
      </c>
      <c r="O6" s="1" t="s">
        <v>15</v>
      </c>
    </row>
    <row r="7" spans="1:15" x14ac:dyDescent="0.3">
      <c r="G7" s="9">
        <v>45138</v>
      </c>
      <c r="H7">
        <f>B5*H2</f>
        <v>25219.5</v>
      </c>
      <c r="I7">
        <f>C5*I2</f>
        <v>0</v>
      </c>
      <c r="J7">
        <f>D5*J2</f>
        <v>48412</v>
      </c>
      <c r="K7">
        <f>E5*K2</f>
        <v>44341.14</v>
      </c>
      <c r="L7">
        <f>SUM(H7:K7)</f>
        <v>117972.64</v>
      </c>
      <c r="M7">
        <f>'20230707'!L9</f>
        <v>122050.98</v>
      </c>
      <c r="N7">
        <f>'20230707'!M8</f>
        <v>99760</v>
      </c>
      <c r="O7">
        <f>(M7/N7 - 1) * 100</f>
        <v>22.344607056936638</v>
      </c>
    </row>
    <row r="8" spans="1:15" x14ac:dyDescent="0.3">
      <c r="A8" s="2" t="s">
        <v>16</v>
      </c>
      <c r="B8" s="1" t="s">
        <v>1</v>
      </c>
      <c r="C8" s="1" t="s">
        <v>2</v>
      </c>
      <c r="D8" s="1" t="s">
        <v>3</v>
      </c>
      <c r="E8" s="1" t="s">
        <v>4</v>
      </c>
      <c r="G8" s="9">
        <v>45146</v>
      </c>
      <c r="H8">
        <f>B11*H3</f>
        <v>22568</v>
      </c>
      <c r="I8">
        <f>C11*I3</f>
        <v>0</v>
      </c>
      <c r="J8">
        <f>D11*J3</f>
        <v>47794.5</v>
      </c>
      <c r="K8">
        <f>E11*K3</f>
        <v>58320.35</v>
      </c>
      <c r="L8">
        <f>SUM(H8:K8)</f>
        <v>128682.85</v>
      </c>
      <c r="M8">
        <f>L8+H14-H15</f>
        <v>132727.19</v>
      </c>
      <c r="N8">
        <f>ROUNDUP(N7+B13*H3+C13*I3+D13*J3+E13*K3, 0)</f>
        <v>110021</v>
      </c>
      <c r="O8">
        <f>(M8/N8 - 1) * 100</f>
        <v>20.638050917552107</v>
      </c>
    </row>
    <row r="9" spans="1:15" x14ac:dyDescent="0.3">
      <c r="A9" s="1" t="s">
        <v>6</v>
      </c>
      <c r="B9">
        <f>B10/$L$8</f>
        <v>0.1753769053141114</v>
      </c>
      <c r="C9">
        <f>C10/$L$8</f>
        <v>0</v>
      </c>
      <c r="D9">
        <f>D10/$L$8</f>
        <v>0.37141312925537473</v>
      </c>
      <c r="E9">
        <f>E10/$L$8</f>
        <v>0.45320996543051384</v>
      </c>
      <c r="G9" s="9">
        <v>45169</v>
      </c>
      <c r="H9">
        <f>B11*H4</f>
        <v>21452</v>
      </c>
      <c r="I9">
        <f>C11*I4</f>
        <v>0</v>
      </c>
      <c r="J9">
        <f>D11*J4</f>
        <v>51922.5</v>
      </c>
      <c r="K9">
        <f>E11*K4</f>
        <v>55907.5</v>
      </c>
      <c r="L9">
        <f>SUM(H9:K9)</f>
        <v>129282</v>
      </c>
      <c r="M9">
        <f>L9+H14-H15</f>
        <v>133326.34</v>
      </c>
      <c r="N9">
        <f>N8</f>
        <v>110021</v>
      </c>
      <c r="O9">
        <f>(M9/N9 - 1) * 100</f>
        <v>21.182628770871005</v>
      </c>
    </row>
    <row r="10" spans="1:15" x14ac:dyDescent="0.3">
      <c r="A10" s="1" t="s">
        <v>8</v>
      </c>
      <c r="B10">
        <f>B11*H3</f>
        <v>22568</v>
      </c>
      <c r="C10">
        <f>C11*I3</f>
        <v>0</v>
      </c>
      <c r="D10">
        <f>D11*J3</f>
        <v>47794.5</v>
      </c>
      <c r="E10">
        <f>E11*K3</f>
        <v>58320.35</v>
      </c>
    </row>
    <row r="11" spans="1:15" x14ac:dyDescent="0.3">
      <c r="A11" s="1" t="s">
        <v>10</v>
      </c>
      <c r="B11">
        <f>B12+B13</f>
        <v>62</v>
      </c>
      <c r="C11">
        <f>C12+C13</f>
        <v>0</v>
      </c>
      <c r="D11">
        <f>D12+D13</f>
        <v>129</v>
      </c>
      <c r="E11">
        <f>E12+E13</f>
        <v>5885</v>
      </c>
    </row>
    <row r="12" spans="1:15" x14ac:dyDescent="0.3">
      <c r="A12" s="1" t="s">
        <v>11</v>
      </c>
      <c r="B12">
        <v>69</v>
      </c>
      <c r="C12">
        <v>0</v>
      </c>
      <c r="D12">
        <v>133</v>
      </c>
      <c r="E12">
        <v>4443</v>
      </c>
      <c r="G12" s="6" t="s">
        <v>27</v>
      </c>
    </row>
    <row r="13" spans="1:15" x14ac:dyDescent="0.3">
      <c r="A13" s="1" t="s">
        <v>12</v>
      </c>
      <c r="B13">
        <v>-7</v>
      </c>
      <c r="C13">
        <v>0</v>
      </c>
      <c r="D13">
        <v>-4</v>
      </c>
      <c r="E13">
        <v>1442</v>
      </c>
      <c r="G13" t="s">
        <v>24</v>
      </c>
      <c r="H13">
        <v>0</v>
      </c>
    </row>
    <row r="14" spans="1:15" x14ac:dyDescent="0.3">
      <c r="A14" s="1" t="s">
        <v>17</v>
      </c>
      <c r="B14">
        <f>ROUND(B13*H3,0)</f>
        <v>-2548</v>
      </c>
      <c r="C14">
        <f>ROUND(C13*I3,0)</f>
        <v>0</v>
      </c>
      <c r="D14">
        <f>ROUND(D13*J3,0)</f>
        <v>-1482</v>
      </c>
      <c r="E14">
        <f>ROUND(E13*K3,0)</f>
        <v>14290</v>
      </c>
      <c r="G14" t="s">
        <v>22</v>
      </c>
      <c r="H14">
        <f>'20230707'!H14+H13</f>
        <v>4078.34</v>
      </c>
    </row>
    <row r="15" spans="1:15" x14ac:dyDescent="0.3">
      <c r="G15" t="s">
        <v>28</v>
      </c>
      <c r="H15">
        <v>34</v>
      </c>
    </row>
    <row r="16" spans="1:15" x14ac:dyDescent="0.3">
      <c r="A16" s="4" t="s">
        <v>18</v>
      </c>
      <c r="B16">
        <v>1.75</v>
      </c>
    </row>
    <row r="17" spans="1:2" x14ac:dyDescent="0.3">
      <c r="A17" s="4" t="s">
        <v>19</v>
      </c>
      <c r="B17">
        <v>4.71</v>
      </c>
    </row>
    <row r="18" spans="1:2" x14ac:dyDescent="0.3">
      <c r="A18" s="4" t="s">
        <v>29</v>
      </c>
      <c r="B18">
        <v>-9280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8"/>
  <sheetViews>
    <sheetView workbookViewId="0">
      <selection activeCell="L4" sqref="L4"/>
    </sheetView>
  </sheetViews>
  <sheetFormatPr defaultRowHeight="15" x14ac:dyDescent="0.3"/>
  <cols>
    <col min="1" max="1" width="30.75" bestFit="1" customWidth="1"/>
    <col min="2" max="2" width="12.75" bestFit="1" customWidth="1"/>
    <col min="3" max="3" width="13.375" bestFit="1" customWidth="1"/>
    <col min="4" max="5" width="12.75" bestFit="1" customWidth="1"/>
    <col min="6" max="6" width="9" customWidth="1"/>
    <col min="7" max="7" width="11.125" bestFit="1" customWidth="1"/>
    <col min="8" max="11" width="9" customWidth="1"/>
    <col min="12" max="12" width="13.75" bestFit="1" customWidth="1"/>
    <col min="13" max="13" width="14.5" bestFit="1" customWidth="1"/>
    <col min="14" max="14" width="17.375" bestFit="1" customWidth="1"/>
    <col min="15" max="15" width="12.875" bestFit="1" customWidth="1"/>
  </cols>
  <sheetData>
    <row r="1" spans="1:15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3" t="s">
        <v>5</v>
      </c>
      <c r="H1" s="1" t="s">
        <v>1</v>
      </c>
      <c r="I1" s="1" t="s">
        <v>2</v>
      </c>
      <c r="J1" s="1" t="s">
        <v>3</v>
      </c>
      <c r="K1" s="1" t="s">
        <v>4</v>
      </c>
      <c r="L1" s="7"/>
    </row>
    <row r="2" spans="1:15" x14ac:dyDescent="0.3">
      <c r="A2" s="1" t="s">
        <v>6</v>
      </c>
      <c r="B2">
        <v>0.1826333395605203</v>
      </c>
      <c r="C2">
        <v>5.4307230589256918E-8</v>
      </c>
      <c r="D2">
        <v>0.35673462532133021</v>
      </c>
      <c r="E2">
        <v>0.46063198081091888</v>
      </c>
      <c r="G2" s="9">
        <v>45169</v>
      </c>
      <c r="H2">
        <v>346</v>
      </c>
      <c r="I2">
        <v>549</v>
      </c>
      <c r="J2">
        <v>402.5</v>
      </c>
      <c r="K2">
        <v>9.5</v>
      </c>
      <c r="L2" s="2" t="s">
        <v>7</v>
      </c>
    </row>
    <row r="3" spans="1:15" x14ac:dyDescent="0.3">
      <c r="A3" s="1" t="s">
        <v>8</v>
      </c>
      <c r="B3">
        <v>25438</v>
      </c>
      <c r="C3">
        <v>0</v>
      </c>
      <c r="D3">
        <v>49687</v>
      </c>
      <c r="E3">
        <v>64158</v>
      </c>
      <c r="G3" s="9">
        <v>45176</v>
      </c>
      <c r="H3">
        <v>345</v>
      </c>
      <c r="I3">
        <v>542</v>
      </c>
      <c r="J3">
        <v>400</v>
      </c>
      <c r="K3">
        <v>9.93</v>
      </c>
      <c r="L3" s="5" t="s">
        <v>9</v>
      </c>
    </row>
    <row r="4" spans="1:15" x14ac:dyDescent="0.3">
      <c r="A4" s="1" t="s">
        <v>10</v>
      </c>
      <c r="B4">
        <v>73.520231213872833</v>
      </c>
      <c r="C4">
        <v>0</v>
      </c>
      <c r="D4">
        <v>123.4459627329193</v>
      </c>
      <c r="E4">
        <v>6753.4736842105267</v>
      </c>
      <c r="G4" s="9">
        <v>45197</v>
      </c>
      <c r="H4">
        <v>324.5</v>
      </c>
      <c r="I4">
        <v>523</v>
      </c>
      <c r="J4">
        <v>367</v>
      </c>
      <c r="K4">
        <v>9.51</v>
      </c>
      <c r="L4" s="5" t="s">
        <v>41</v>
      </c>
    </row>
    <row r="5" spans="1:15" x14ac:dyDescent="0.3">
      <c r="A5" s="1" t="s">
        <v>11</v>
      </c>
      <c r="B5">
        <v>62</v>
      </c>
      <c r="C5">
        <v>0</v>
      </c>
      <c r="D5">
        <v>129</v>
      </c>
      <c r="E5">
        <v>5885</v>
      </c>
    </row>
    <row r="6" spans="1:15" x14ac:dyDescent="0.3">
      <c r="A6" s="1" t="s">
        <v>12</v>
      </c>
      <c r="B6">
        <v>11.52023121387283</v>
      </c>
      <c r="C6">
        <v>0</v>
      </c>
      <c r="D6">
        <v>-5.5540372670807443</v>
      </c>
      <c r="E6">
        <v>868.4736842105267</v>
      </c>
      <c r="G6" s="3" t="s">
        <v>8</v>
      </c>
      <c r="H6" s="1" t="s">
        <v>1</v>
      </c>
      <c r="I6" s="1" t="s">
        <v>2</v>
      </c>
      <c r="J6" s="1" t="s">
        <v>3</v>
      </c>
      <c r="K6" s="1" t="s">
        <v>4</v>
      </c>
      <c r="L6" s="8" t="s">
        <v>25</v>
      </c>
      <c r="M6" s="1" t="s">
        <v>26</v>
      </c>
      <c r="N6" s="1" t="s">
        <v>14</v>
      </c>
      <c r="O6" s="1" t="s">
        <v>15</v>
      </c>
    </row>
    <row r="7" spans="1:15" x14ac:dyDescent="0.3">
      <c r="G7" s="9">
        <v>45169</v>
      </c>
      <c r="H7">
        <f>B5*H2</f>
        <v>21452</v>
      </c>
      <c r="I7">
        <f>C5*I2</f>
        <v>0</v>
      </c>
      <c r="J7">
        <f>D5*J2</f>
        <v>51922.5</v>
      </c>
      <c r="K7">
        <f>E5*K2</f>
        <v>55907.5</v>
      </c>
      <c r="L7">
        <f>SUM(H7:K7)</f>
        <v>129282</v>
      </c>
      <c r="M7">
        <f>'20230808'!M9</f>
        <v>133326.34</v>
      </c>
      <c r="N7">
        <f>'20230808'!N8</f>
        <v>110021</v>
      </c>
      <c r="O7">
        <f>(M7/N7 - 1) * 100</f>
        <v>21.182628770871005</v>
      </c>
    </row>
    <row r="8" spans="1:15" x14ac:dyDescent="0.3">
      <c r="A8" s="2" t="s">
        <v>16</v>
      </c>
      <c r="B8" s="1" t="s">
        <v>1</v>
      </c>
      <c r="C8" s="1" t="s">
        <v>2</v>
      </c>
      <c r="D8" s="1" t="s">
        <v>3</v>
      </c>
      <c r="E8" s="1" t="s">
        <v>4</v>
      </c>
      <c r="G8" s="9">
        <v>45176</v>
      </c>
      <c r="H8">
        <f>B11*H3</f>
        <v>25530</v>
      </c>
      <c r="I8">
        <f>C11*I3</f>
        <v>0</v>
      </c>
      <c r="J8">
        <f>D11*J3</f>
        <v>49200</v>
      </c>
      <c r="K8">
        <f>E11*K3</f>
        <v>67057.289999999994</v>
      </c>
      <c r="L8">
        <f>SUM(H8:K8)</f>
        <v>141787.28999999998</v>
      </c>
      <c r="M8">
        <f>L8+H14-H15</f>
        <v>145819.62999999998</v>
      </c>
      <c r="N8">
        <f>ROUNDUP(N7+B13*H3+C13*I3+D13*J3+E13*K3, 0)</f>
        <v>120381</v>
      </c>
      <c r="O8">
        <f>(M8/N8 - 1) * 100</f>
        <v>21.131764979523314</v>
      </c>
    </row>
    <row r="9" spans="1:15" x14ac:dyDescent="0.3">
      <c r="A9" s="1" t="s">
        <v>6</v>
      </c>
      <c r="B9">
        <f>B10/$L$8</f>
        <v>0.18005845234787973</v>
      </c>
      <c r="C9">
        <f>C10/$L$8</f>
        <v>0</v>
      </c>
      <c r="D9">
        <f>D10/$L$8</f>
        <v>0.34699866257405731</v>
      </c>
      <c r="E9">
        <f>E10/$L$8</f>
        <v>0.47294288507806309</v>
      </c>
      <c r="G9" s="9">
        <v>45199</v>
      </c>
      <c r="H9">
        <f>B11*H4</f>
        <v>24013</v>
      </c>
      <c r="I9">
        <f>C11*I4</f>
        <v>0</v>
      </c>
      <c r="J9">
        <f>D11*J4</f>
        <v>45141</v>
      </c>
      <c r="K9">
        <f>E11*K4</f>
        <v>64221.03</v>
      </c>
      <c r="L9">
        <f>SUM(H9:K9)</f>
        <v>133375.03</v>
      </c>
      <c r="M9">
        <f>L9+H14-H15</f>
        <v>137407.37</v>
      </c>
      <c r="N9">
        <f>N8</f>
        <v>120381</v>
      </c>
      <c r="O9">
        <f>(M9/N9 - 1) * 100</f>
        <v>14.143735307066718</v>
      </c>
    </row>
    <row r="10" spans="1:15" x14ac:dyDescent="0.3">
      <c r="A10" s="1" t="s">
        <v>8</v>
      </c>
      <c r="B10">
        <f>B11*H3</f>
        <v>25530</v>
      </c>
      <c r="C10">
        <f>C11*I3</f>
        <v>0</v>
      </c>
      <c r="D10">
        <f>D11*J3</f>
        <v>49200</v>
      </c>
      <c r="E10">
        <f>E11*K3</f>
        <v>67057.289999999994</v>
      </c>
    </row>
    <row r="11" spans="1:15" x14ac:dyDescent="0.3">
      <c r="A11" s="1" t="s">
        <v>10</v>
      </c>
      <c r="B11">
        <f>B12+B13</f>
        <v>74</v>
      </c>
      <c r="C11">
        <f>C12+C13</f>
        <v>0</v>
      </c>
      <c r="D11">
        <f>D12+D13</f>
        <v>123</v>
      </c>
      <c r="E11">
        <f>E12+E13</f>
        <v>6753</v>
      </c>
    </row>
    <row r="12" spans="1:15" x14ac:dyDescent="0.3">
      <c r="A12" s="1" t="s">
        <v>11</v>
      </c>
      <c r="B12">
        <v>62</v>
      </c>
      <c r="C12">
        <v>0</v>
      </c>
      <c r="D12">
        <v>129</v>
      </c>
      <c r="E12">
        <v>5885</v>
      </c>
      <c r="G12" s="6" t="s">
        <v>27</v>
      </c>
    </row>
    <row r="13" spans="1:15" x14ac:dyDescent="0.3">
      <c r="A13" s="1" t="s">
        <v>12</v>
      </c>
      <c r="B13">
        <v>12</v>
      </c>
      <c r="C13">
        <v>0</v>
      </c>
      <c r="D13">
        <v>-6</v>
      </c>
      <c r="E13">
        <v>868</v>
      </c>
      <c r="G13" t="s">
        <v>24</v>
      </c>
      <c r="H13">
        <v>0</v>
      </c>
    </row>
    <row r="14" spans="1:15" x14ac:dyDescent="0.3">
      <c r="A14" s="1" t="s">
        <v>17</v>
      </c>
      <c r="B14">
        <f>ROUND(B13*H3,0)</f>
        <v>4140</v>
      </c>
      <c r="C14">
        <f>ROUND(C13*I3,0)</f>
        <v>0</v>
      </c>
      <c r="D14">
        <f>ROUND(D13*J3,0)</f>
        <v>-2400</v>
      </c>
      <c r="E14">
        <f>ROUND(E13*K3,0)</f>
        <v>8619</v>
      </c>
      <c r="G14" t="s">
        <v>22</v>
      </c>
      <c r="H14">
        <f>'20230808'!H14+H13</f>
        <v>4078.34</v>
      </c>
    </row>
    <row r="15" spans="1:15" x14ac:dyDescent="0.3">
      <c r="G15" t="s">
        <v>28</v>
      </c>
      <c r="H15">
        <f>'20230808'!H15+12</f>
        <v>46</v>
      </c>
    </row>
    <row r="16" spans="1:15" x14ac:dyDescent="0.3">
      <c r="A16" s="4" t="s">
        <v>18</v>
      </c>
      <c r="B16">
        <v>1.8</v>
      </c>
    </row>
    <row r="17" spans="1:2" x14ac:dyDescent="0.3">
      <c r="A17" s="4" t="s">
        <v>19</v>
      </c>
      <c r="B17">
        <v>4.67</v>
      </c>
    </row>
    <row r="18" spans="1:2" x14ac:dyDescent="0.3">
      <c r="A18" s="4" t="s">
        <v>29</v>
      </c>
      <c r="B18">
        <v>-10245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18"/>
  <sheetViews>
    <sheetView workbookViewId="0">
      <selection activeCell="L4" sqref="L4"/>
    </sheetView>
  </sheetViews>
  <sheetFormatPr defaultRowHeight="15" x14ac:dyDescent="0.3"/>
  <cols>
    <col min="1" max="1" width="30.75" bestFit="1" customWidth="1"/>
    <col min="2" max="2" width="12.75" bestFit="1" customWidth="1"/>
    <col min="3" max="3" width="13.375" bestFit="1" customWidth="1"/>
    <col min="4" max="5" width="12.75" bestFit="1" customWidth="1"/>
    <col min="6" max="6" width="9" customWidth="1"/>
    <col min="7" max="7" width="11.125" bestFit="1" customWidth="1"/>
    <col min="8" max="11" width="9" customWidth="1"/>
    <col min="12" max="12" width="13.75" bestFit="1" customWidth="1"/>
    <col min="13" max="13" width="14.5" bestFit="1" customWidth="1"/>
    <col min="14" max="14" width="17.375" bestFit="1" customWidth="1"/>
    <col min="15" max="15" width="12.875" bestFit="1" customWidth="1"/>
  </cols>
  <sheetData>
    <row r="1" spans="1:15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3" t="s">
        <v>5</v>
      </c>
      <c r="H1" s="1" t="s">
        <v>1</v>
      </c>
      <c r="I1" s="1" t="s">
        <v>2</v>
      </c>
      <c r="J1" s="1" t="s">
        <v>3</v>
      </c>
      <c r="K1" s="1" t="s">
        <v>4</v>
      </c>
      <c r="L1" s="7"/>
    </row>
    <row r="2" spans="1:15" x14ac:dyDescent="0.3">
      <c r="A2" s="1" t="s">
        <v>6</v>
      </c>
      <c r="B2">
        <v>0.24426074125839869</v>
      </c>
      <c r="C2">
        <v>1.317933213117335E-7</v>
      </c>
      <c r="D2">
        <v>0.38634625025106972</v>
      </c>
      <c r="E2">
        <v>0.36939287669721033</v>
      </c>
      <c r="G2" s="9">
        <v>45197</v>
      </c>
      <c r="H2">
        <v>324.5</v>
      </c>
      <c r="I2">
        <v>523</v>
      </c>
      <c r="J2">
        <v>367</v>
      </c>
      <c r="K2">
        <v>9.51</v>
      </c>
      <c r="L2" s="2" t="s">
        <v>7</v>
      </c>
    </row>
    <row r="3" spans="1:15" x14ac:dyDescent="0.3">
      <c r="A3" s="1" t="s">
        <v>8</v>
      </c>
      <c r="B3">
        <v>35021</v>
      </c>
      <c r="C3">
        <v>0</v>
      </c>
      <c r="D3">
        <v>55392</v>
      </c>
      <c r="E3">
        <v>52962</v>
      </c>
      <c r="G3" s="9">
        <v>45205</v>
      </c>
      <c r="H3">
        <v>338</v>
      </c>
      <c r="I3">
        <v>532</v>
      </c>
      <c r="J3">
        <v>380</v>
      </c>
      <c r="K3">
        <v>9.41</v>
      </c>
      <c r="L3" s="5" t="s">
        <v>9</v>
      </c>
    </row>
    <row r="4" spans="1:15" x14ac:dyDescent="0.3">
      <c r="A4" s="1" t="s">
        <v>10</v>
      </c>
      <c r="B4">
        <v>107.9229583975347</v>
      </c>
      <c r="C4">
        <v>0</v>
      </c>
      <c r="D4">
        <v>150.93188010899181</v>
      </c>
      <c r="E4">
        <v>5569.0851735015776</v>
      </c>
      <c r="G4" s="9">
        <v>45230</v>
      </c>
      <c r="H4">
        <v>290.5</v>
      </c>
      <c r="I4">
        <v>529</v>
      </c>
      <c r="J4">
        <v>338</v>
      </c>
      <c r="K4">
        <v>9.32</v>
      </c>
      <c r="L4" s="5" t="s">
        <v>41</v>
      </c>
    </row>
    <row r="5" spans="1:15" x14ac:dyDescent="0.3">
      <c r="A5" s="1" t="s">
        <v>11</v>
      </c>
      <c r="B5">
        <v>74</v>
      </c>
      <c r="C5">
        <v>0</v>
      </c>
      <c r="D5">
        <v>123</v>
      </c>
      <c r="E5">
        <v>6753</v>
      </c>
    </row>
    <row r="6" spans="1:15" x14ac:dyDescent="0.3">
      <c r="A6" s="1" t="s">
        <v>12</v>
      </c>
      <c r="B6">
        <v>33.922958397534671</v>
      </c>
      <c r="C6">
        <v>0</v>
      </c>
      <c r="D6">
        <v>27.93188010899183</v>
      </c>
      <c r="E6">
        <v>-1183.9148264984219</v>
      </c>
      <c r="G6" s="3" t="s">
        <v>8</v>
      </c>
      <c r="H6" s="1" t="s">
        <v>1</v>
      </c>
      <c r="I6" s="1" t="s">
        <v>2</v>
      </c>
      <c r="J6" s="1" t="s">
        <v>3</v>
      </c>
      <c r="K6" s="1" t="s">
        <v>4</v>
      </c>
      <c r="L6" s="8" t="s">
        <v>25</v>
      </c>
      <c r="M6" s="1" t="s">
        <v>26</v>
      </c>
      <c r="N6" s="1" t="s">
        <v>14</v>
      </c>
      <c r="O6" s="1" t="s">
        <v>15</v>
      </c>
    </row>
    <row r="7" spans="1:15" x14ac:dyDescent="0.3">
      <c r="G7" s="9">
        <v>45197</v>
      </c>
      <c r="H7">
        <f>B5*H2</f>
        <v>24013</v>
      </c>
      <c r="I7">
        <f>C5*I2</f>
        <v>0</v>
      </c>
      <c r="J7">
        <f>D5*J2</f>
        <v>45141</v>
      </c>
      <c r="K7">
        <f>E5*K2</f>
        <v>64221.03</v>
      </c>
      <c r="L7">
        <f>SUM(H7:K7)</f>
        <v>133375.03</v>
      </c>
      <c r="M7">
        <f>'20230907'!M9</f>
        <v>137407.37</v>
      </c>
      <c r="N7">
        <f>'20230907'!N8</f>
        <v>120381</v>
      </c>
      <c r="O7">
        <f>(M7/N7 - 1) * 100</f>
        <v>14.143735307066718</v>
      </c>
    </row>
    <row r="8" spans="1:15" x14ac:dyDescent="0.3">
      <c r="A8" s="2" t="s">
        <v>16</v>
      </c>
      <c r="B8" s="1" t="s">
        <v>1</v>
      </c>
      <c r="C8" s="1" t="s">
        <v>2</v>
      </c>
      <c r="D8" s="1" t="s">
        <v>3</v>
      </c>
      <c r="E8" s="1" t="s">
        <v>4</v>
      </c>
      <c r="G8" s="9">
        <v>45205</v>
      </c>
      <c r="H8">
        <f>B11*H3</f>
        <v>36504</v>
      </c>
      <c r="I8">
        <f>C11*I3</f>
        <v>0</v>
      </c>
      <c r="J8">
        <f>D11*J3</f>
        <v>57380</v>
      </c>
      <c r="K8">
        <f>E11*K3</f>
        <v>52404.29</v>
      </c>
      <c r="L8">
        <f>SUM(H8:K8)</f>
        <v>146288.29</v>
      </c>
      <c r="M8">
        <f>L8+H14-H15</f>
        <v>150274.63</v>
      </c>
      <c r="N8">
        <f>ROUNDUP(N7+B13*H3+C13*I3+D13*J3+E13*K3, 0)</f>
        <v>131372</v>
      </c>
      <c r="O8">
        <f>(M8/N8 - 1) * 100</f>
        <v>14.388629236062478</v>
      </c>
    </row>
    <row r="9" spans="1:15" x14ac:dyDescent="0.3">
      <c r="A9" s="1" t="s">
        <v>6</v>
      </c>
      <c r="B9">
        <f>B10/$L$8</f>
        <v>0.24953466883781333</v>
      </c>
      <c r="C9">
        <f>C10/$L$8</f>
        <v>0</v>
      </c>
      <c r="D9">
        <f>D10/$L$8</f>
        <v>0.39223918742915098</v>
      </c>
      <c r="E9">
        <f>E10/$L$8</f>
        <v>0.35822614373303563</v>
      </c>
      <c r="G9" s="9">
        <v>45230</v>
      </c>
      <c r="H9">
        <f>B11*H4</f>
        <v>31374</v>
      </c>
      <c r="I9">
        <f>C11*I4</f>
        <v>0</v>
      </c>
      <c r="J9">
        <f>D11*J4</f>
        <v>51038</v>
      </c>
      <c r="K9">
        <f>E11*K4</f>
        <v>51903.08</v>
      </c>
      <c r="L9">
        <f>SUM(H9:K9)</f>
        <v>134315.08000000002</v>
      </c>
      <c r="M9">
        <f>L9+H14-H15</f>
        <v>138301.42000000001</v>
      </c>
      <c r="N9">
        <f>N8</f>
        <v>131372</v>
      </c>
      <c r="O9">
        <f>(M9/N9 - 1) * 100</f>
        <v>5.2746551776634343</v>
      </c>
    </row>
    <row r="10" spans="1:15" x14ac:dyDescent="0.3">
      <c r="A10" s="1" t="s">
        <v>8</v>
      </c>
      <c r="B10">
        <f>B11*H3</f>
        <v>36504</v>
      </c>
      <c r="C10">
        <f>C11*I3</f>
        <v>0</v>
      </c>
      <c r="D10">
        <f>D11*J3</f>
        <v>57380</v>
      </c>
      <c r="E10">
        <f>E11*K3</f>
        <v>52404.29</v>
      </c>
    </row>
    <row r="11" spans="1:15" x14ac:dyDescent="0.3">
      <c r="A11" s="1" t="s">
        <v>10</v>
      </c>
      <c r="B11">
        <f>B12+B13</f>
        <v>108</v>
      </c>
      <c r="C11">
        <f>C12+C13</f>
        <v>0</v>
      </c>
      <c r="D11">
        <f>D12+D13</f>
        <v>151</v>
      </c>
      <c r="E11">
        <f>E12+E13</f>
        <v>5569</v>
      </c>
    </row>
    <row r="12" spans="1:15" x14ac:dyDescent="0.3">
      <c r="A12" s="1" t="s">
        <v>11</v>
      </c>
      <c r="B12">
        <v>74</v>
      </c>
      <c r="C12">
        <v>0</v>
      </c>
      <c r="D12">
        <v>123</v>
      </c>
      <c r="E12">
        <v>6753</v>
      </c>
      <c r="G12" s="6" t="s">
        <v>27</v>
      </c>
    </row>
    <row r="13" spans="1:15" x14ac:dyDescent="0.3">
      <c r="A13" s="1" t="s">
        <v>12</v>
      </c>
      <c r="B13">
        <v>34</v>
      </c>
      <c r="C13">
        <v>0</v>
      </c>
      <c r="D13">
        <v>28</v>
      </c>
      <c r="E13">
        <v>-1184</v>
      </c>
      <c r="G13" t="s">
        <v>24</v>
      </c>
      <c r="H13">
        <v>0</v>
      </c>
    </row>
    <row r="14" spans="1:15" x14ac:dyDescent="0.3">
      <c r="A14" s="1" t="s">
        <v>17</v>
      </c>
      <c r="B14">
        <f>ROUND(B13*H3,0)</f>
        <v>11492</v>
      </c>
      <c r="C14">
        <f>ROUND(C13*I3,0)</f>
        <v>0</v>
      </c>
      <c r="D14">
        <f>ROUND(D13*J3,0)</f>
        <v>10640</v>
      </c>
      <c r="E14">
        <f>ROUND(E13*K3,0)</f>
        <v>-11141</v>
      </c>
      <c r="G14" t="s">
        <v>22</v>
      </c>
      <c r="H14">
        <f>'20230907'!H14+H13</f>
        <v>4078.34</v>
      </c>
    </row>
    <row r="15" spans="1:15" x14ac:dyDescent="0.3">
      <c r="G15" t="s">
        <v>28</v>
      </c>
      <c r="H15">
        <f>'20230907'!H15+46</f>
        <v>92</v>
      </c>
    </row>
    <row r="16" spans="1:15" x14ac:dyDescent="0.3">
      <c r="A16" s="4" t="s">
        <v>18</v>
      </c>
      <c r="B16">
        <v>1.8</v>
      </c>
    </row>
    <row r="17" spans="1:2" x14ac:dyDescent="0.3">
      <c r="A17" s="4" t="s">
        <v>19</v>
      </c>
      <c r="B17">
        <v>4.83</v>
      </c>
    </row>
    <row r="18" spans="1:2" x14ac:dyDescent="0.3">
      <c r="A18" s="4" t="s">
        <v>29</v>
      </c>
      <c r="B18">
        <v>-10989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18"/>
  <sheetViews>
    <sheetView workbookViewId="0">
      <selection activeCell="L4" sqref="L4"/>
    </sheetView>
  </sheetViews>
  <sheetFormatPr defaultRowHeight="15" x14ac:dyDescent="0.3"/>
  <cols>
    <col min="1" max="1" width="30.75" bestFit="1" customWidth="1"/>
    <col min="2" max="2" width="12.75" bestFit="1" customWidth="1"/>
    <col min="3" max="3" width="13.375" bestFit="1" customWidth="1"/>
    <col min="4" max="5" width="12.75" bestFit="1" customWidth="1"/>
    <col min="6" max="6" width="9" customWidth="1"/>
    <col min="7" max="7" width="11.125" bestFit="1" customWidth="1"/>
    <col min="8" max="11" width="9" customWidth="1"/>
    <col min="12" max="12" width="13.75" bestFit="1" customWidth="1"/>
    <col min="13" max="13" width="14.5" bestFit="1" customWidth="1"/>
    <col min="14" max="14" width="17.375" bestFit="1" customWidth="1"/>
    <col min="15" max="15" width="12.875" bestFit="1" customWidth="1"/>
  </cols>
  <sheetData>
    <row r="1" spans="1:15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3" t="s">
        <v>5</v>
      </c>
      <c r="H1" s="1" t="s">
        <v>1</v>
      </c>
      <c r="I1" s="1" t="s">
        <v>2</v>
      </c>
      <c r="J1" s="1" t="s">
        <v>3</v>
      </c>
      <c r="K1" s="1" t="s">
        <v>4</v>
      </c>
      <c r="L1" s="7"/>
    </row>
    <row r="2" spans="1:15" x14ac:dyDescent="0.3">
      <c r="A2" s="1" t="s">
        <v>6</v>
      </c>
      <c r="B2">
        <v>0.29918260089084631</v>
      </c>
      <c r="C2">
        <v>6.7151164941631548E-8</v>
      </c>
      <c r="D2">
        <v>0.43189503162795778</v>
      </c>
      <c r="E2">
        <v>0.26892230033003101</v>
      </c>
      <c r="G2" s="9">
        <v>45230</v>
      </c>
      <c r="H2">
        <v>290.5</v>
      </c>
      <c r="I2">
        <v>529</v>
      </c>
      <c r="J2">
        <v>338</v>
      </c>
      <c r="K2">
        <v>9.32</v>
      </c>
      <c r="L2" s="2" t="s">
        <v>7</v>
      </c>
    </row>
    <row r="3" spans="1:15" x14ac:dyDescent="0.3">
      <c r="A3" s="1" t="s">
        <v>8</v>
      </c>
      <c r="B3">
        <v>43177</v>
      </c>
      <c r="C3">
        <v>0</v>
      </c>
      <c r="D3">
        <v>62329</v>
      </c>
      <c r="E3">
        <v>38810</v>
      </c>
      <c r="G3" s="9">
        <v>45237</v>
      </c>
      <c r="H3">
        <v>306.5</v>
      </c>
      <c r="I3">
        <v>552</v>
      </c>
      <c r="J3">
        <v>357</v>
      </c>
      <c r="K3">
        <v>9.5422849999999997</v>
      </c>
      <c r="L3" s="5" t="s">
        <v>9</v>
      </c>
    </row>
    <row r="4" spans="1:15" x14ac:dyDescent="0.3">
      <c r="A4" s="1" t="s">
        <v>10</v>
      </c>
      <c r="B4">
        <v>148.62994836488809</v>
      </c>
      <c r="C4">
        <v>0</v>
      </c>
      <c r="D4">
        <v>184.40532544378701</v>
      </c>
      <c r="E4">
        <v>4164.1630901287554</v>
      </c>
      <c r="G4" s="9">
        <v>45260</v>
      </c>
      <c r="H4">
        <v>316.5</v>
      </c>
      <c r="I4">
        <v>577</v>
      </c>
      <c r="J4">
        <v>393.5</v>
      </c>
      <c r="K4">
        <v>9.7200000000000006</v>
      </c>
      <c r="L4" s="5" t="s">
        <v>41</v>
      </c>
    </row>
    <row r="5" spans="1:15" x14ac:dyDescent="0.3">
      <c r="A5" s="1" t="s">
        <v>11</v>
      </c>
      <c r="B5">
        <v>108</v>
      </c>
      <c r="C5">
        <v>0</v>
      </c>
      <c r="D5">
        <v>151</v>
      </c>
      <c r="E5">
        <v>5569</v>
      </c>
    </row>
    <row r="6" spans="1:15" x14ac:dyDescent="0.3">
      <c r="A6" s="1" t="s">
        <v>12</v>
      </c>
      <c r="B6">
        <v>40.629948364888122</v>
      </c>
      <c r="C6">
        <v>0</v>
      </c>
      <c r="D6">
        <v>33.405325443786978</v>
      </c>
      <c r="E6">
        <v>-1404.8369098712451</v>
      </c>
      <c r="G6" s="3" t="s">
        <v>8</v>
      </c>
      <c r="H6" s="1" t="s">
        <v>1</v>
      </c>
      <c r="I6" s="1" t="s">
        <v>2</v>
      </c>
      <c r="J6" s="1" t="s">
        <v>3</v>
      </c>
      <c r="K6" s="1" t="s">
        <v>4</v>
      </c>
      <c r="L6" s="8" t="s">
        <v>25</v>
      </c>
      <c r="M6" s="1" t="s">
        <v>26</v>
      </c>
      <c r="N6" s="1" t="s">
        <v>14</v>
      </c>
      <c r="O6" s="1" t="s">
        <v>15</v>
      </c>
    </row>
    <row r="7" spans="1:15" x14ac:dyDescent="0.3">
      <c r="G7" s="9">
        <v>45230</v>
      </c>
      <c r="H7">
        <f>B5*H2</f>
        <v>31374</v>
      </c>
      <c r="I7">
        <f>C5*I2</f>
        <v>0</v>
      </c>
      <c r="J7">
        <f>D5*J2</f>
        <v>51038</v>
      </c>
      <c r="K7">
        <f>E5*K2</f>
        <v>51903.08</v>
      </c>
      <c r="L7">
        <f>SUM(H7:K7)</f>
        <v>134315.08000000002</v>
      </c>
      <c r="M7">
        <f>'20231006'!M9</f>
        <v>138301.42000000001</v>
      </c>
      <c r="N7">
        <f>'20231006'!N8</f>
        <v>131372</v>
      </c>
      <c r="O7">
        <f>(M7/N7 - 1) * 100</f>
        <v>5.2746551776634343</v>
      </c>
    </row>
    <row r="8" spans="1:15" x14ac:dyDescent="0.3">
      <c r="A8" s="2" t="s">
        <v>16</v>
      </c>
      <c r="B8" s="1" t="s">
        <v>1</v>
      </c>
      <c r="C8" s="1" t="s">
        <v>2</v>
      </c>
      <c r="D8" s="1" t="s">
        <v>3</v>
      </c>
      <c r="E8" s="1" t="s">
        <v>4</v>
      </c>
      <c r="G8" s="9">
        <v>45237</v>
      </c>
      <c r="H8">
        <f>B11*H3</f>
        <v>45668.5</v>
      </c>
      <c r="I8">
        <f>C11*I3</f>
        <v>0</v>
      </c>
      <c r="J8">
        <f>D11*J3</f>
        <v>65688</v>
      </c>
      <c r="K8">
        <f>E11*K3</f>
        <v>39734.074739999996</v>
      </c>
      <c r="L8">
        <f>SUM(H8:K8)</f>
        <v>151090.57474000001</v>
      </c>
      <c r="M8">
        <f>L8+H14-H15</f>
        <v>155023.91474000001</v>
      </c>
      <c r="N8">
        <f>ROUNDUP(N7+B13*H3+C13*I3+D13*J3+E13*K3, 0)</f>
        <v>142313</v>
      </c>
      <c r="O8">
        <f>(M8/N8 - 1) * 100</f>
        <v>8.9316610148054032</v>
      </c>
    </row>
    <row r="9" spans="1:15" x14ac:dyDescent="0.3">
      <c r="A9" s="1" t="s">
        <v>6</v>
      </c>
      <c r="B9">
        <f>B10/$L$8</f>
        <v>0.30225909245886023</v>
      </c>
      <c r="C9">
        <f>C10/$L$8</f>
        <v>0</v>
      </c>
      <c r="D9">
        <f>D10/$L$8</f>
        <v>0.43475908482734515</v>
      </c>
      <c r="E9">
        <f>E10/$L$8</f>
        <v>0.2629818227137945</v>
      </c>
      <c r="G9" s="9">
        <v>45260</v>
      </c>
      <c r="H9">
        <f>B11*H4</f>
        <v>47158.5</v>
      </c>
      <c r="I9">
        <f>C11*I4</f>
        <v>0</v>
      </c>
      <c r="J9">
        <f>D11*J4</f>
        <v>72404</v>
      </c>
      <c r="K9">
        <f>E11*K4</f>
        <v>40474.080000000002</v>
      </c>
      <c r="L9">
        <f>SUM(H9:K9)</f>
        <v>160036.58000000002</v>
      </c>
      <c r="M9">
        <f>L9+H14-H15</f>
        <v>163969.92000000001</v>
      </c>
      <c r="N9">
        <f>N8</f>
        <v>142313</v>
      </c>
      <c r="O9">
        <f>(M9/N9 - 1) * 100</f>
        <v>15.217808633083418</v>
      </c>
    </row>
    <row r="10" spans="1:15" x14ac:dyDescent="0.3">
      <c r="A10" s="1" t="s">
        <v>8</v>
      </c>
      <c r="B10">
        <f>B11*H3</f>
        <v>45668.5</v>
      </c>
      <c r="C10">
        <f>C11*I3</f>
        <v>0</v>
      </c>
      <c r="D10">
        <f>D11*J3</f>
        <v>65688</v>
      </c>
      <c r="E10">
        <f>E11*K3</f>
        <v>39734.074739999996</v>
      </c>
    </row>
    <row r="11" spans="1:15" x14ac:dyDescent="0.3">
      <c r="A11" s="1" t="s">
        <v>10</v>
      </c>
      <c r="B11">
        <f>B12+B13</f>
        <v>149</v>
      </c>
      <c r="C11">
        <f>C12+C13</f>
        <v>0</v>
      </c>
      <c r="D11">
        <f>D12+D13</f>
        <v>184</v>
      </c>
      <c r="E11">
        <f>E12+E13</f>
        <v>4164</v>
      </c>
    </row>
    <row r="12" spans="1:15" x14ac:dyDescent="0.3">
      <c r="A12" s="1" t="s">
        <v>11</v>
      </c>
      <c r="B12">
        <v>108</v>
      </c>
      <c r="C12">
        <v>0</v>
      </c>
      <c r="D12">
        <v>151</v>
      </c>
      <c r="E12">
        <v>5569</v>
      </c>
      <c r="G12" s="6" t="s">
        <v>27</v>
      </c>
    </row>
    <row r="13" spans="1:15" x14ac:dyDescent="0.3">
      <c r="A13" s="1" t="s">
        <v>12</v>
      </c>
      <c r="B13">
        <v>41</v>
      </c>
      <c r="C13">
        <v>0</v>
      </c>
      <c r="D13">
        <v>33</v>
      </c>
      <c r="E13">
        <v>-1405</v>
      </c>
      <c r="G13" t="s">
        <v>24</v>
      </c>
      <c r="H13">
        <v>0</v>
      </c>
    </row>
    <row r="14" spans="1:15" x14ac:dyDescent="0.3">
      <c r="A14" s="1" t="s">
        <v>17</v>
      </c>
      <c r="B14">
        <f>ROUND(B13*H3,0)</f>
        <v>12567</v>
      </c>
      <c r="C14">
        <f>ROUND(C13*I3,0)</f>
        <v>0</v>
      </c>
      <c r="D14">
        <f>ROUND(D13*J3,0)</f>
        <v>11781</v>
      </c>
      <c r="E14">
        <f>ROUND(E13*K3,0)</f>
        <v>-13407</v>
      </c>
      <c r="G14" t="s">
        <v>22</v>
      </c>
      <c r="H14">
        <f>'20231006'!H14+H13</f>
        <v>4078.34</v>
      </c>
    </row>
    <row r="15" spans="1:15" x14ac:dyDescent="0.3">
      <c r="G15" t="s">
        <v>28</v>
      </c>
      <c r="H15">
        <f>'20231006'!H15+53</f>
        <v>145</v>
      </c>
    </row>
    <row r="16" spans="1:15" x14ac:dyDescent="0.3">
      <c r="A16" s="4" t="s">
        <v>18</v>
      </c>
      <c r="B16">
        <v>1.75</v>
      </c>
    </row>
    <row r="17" spans="1:2" x14ac:dyDescent="0.3">
      <c r="A17" s="4" t="s">
        <v>19</v>
      </c>
      <c r="B17">
        <v>5.17</v>
      </c>
    </row>
    <row r="18" spans="1:2" x14ac:dyDescent="0.3">
      <c r="A18" s="4" t="s">
        <v>29</v>
      </c>
      <c r="B18">
        <v>-12112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18"/>
  <sheetViews>
    <sheetView workbookViewId="0">
      <selection activeCell="L4" sqref="L4"/>
    </sheetView>
  </sheetViews>
  <sheetFormatPr defaultRowHeight="15" x14ac:dyDescent="0.3"/>
  <cols>
    <col min="1" max="1" width="30.75" bestFit="1" customWidth="1"/>
    <col min="2" max="2" width="12.75" bestFit="1" customWidth="1"/>
    <col min="3" max="3" width="13.375" bestFit="1" customWidth="1"/>
    <col min="4" max="5" width="12.75" bestFit="1" customWidth="1"/>
    <col min="6" max="6" width="9" customWidth="1"/>
    <col min="7" max="7" width="17.25" bestFit="1" customWidth="1"/>
    <col min="8" max="11" width="9" customWidth="1"/>
    <col min="12" max="12" width="13.75" bestFit="1" customWidth="1"/>
    <col min="13" max="13" width="14.5" bestFit="1" customWidth="1"/>
    <col min="14" max="14" width="17.375" bestFit="1" customWidth="1"/>
    <col min="15" max="15" width="12.875" bestFit="1" customWidth="1"/>
  </cols>
  <sheetData>
    <row r="1" spans="1:15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3" t="s">
        <v>5</v>
      </c>
      <c r="H1" s="1" t="s">
        <v>1</v>
      </c>
      <c r="I1" s="1" t="s">
        <v>2</v>
      </c>
      <c r="J1" s="1" t="s">
        <v>3</v>
      </c>
      <c r="K1" s="1" t="s">
        <v>4</v>
      </c>
      <c r="L1" s="7"/>
    </row>
    <row r="2" spans="1:15" x14ac:dyDescent="0.3">
      <c r="A2" s="1" t="s">
        <v>6</v>
      </c>
      <c r="B2">
        <v>0.2193542287519484</v>
      </c>
      <c r="C2">
        <v>4.4821677917338107E-8</v>
      </c>
      <c r="D2">
        <v>0.37129203035018471</v>
      </c>
      <c r="E2">
        <v>0.40935369607618899</v>
      </c>
      <c r="G2" s="9">
        <v>45260</v>
      </c>
      <c r="H2">
        <v>316.5</v>
      </c>
      <c r="I2">
        <v>577</v>
      </c>
      <c r="J2">
        <v>393.5</v>
      </c>
      <c r="K2">
        <v>9.7200000000000006</v>
      </c>
      <c r="L2" s="2" t="s">
        <v>7</v>
      </c>
    </row>
    <row r="3" spans="1:15" x14ac:dyDescent="0.3">
      <c r="A3" s="1" t="s">
        <v>8</v>
      </c>
      <c r="B3">
        <v>37298</v>
      </c>
      <c r="C3">
        <v>0</v>
      </c>
      <c r="D3">
        <v>63133</v>
      </c>
      <c r="E3">
        <v>69605</v>
      </c>
      <c r="G3" s="9">
        <v>45267</v>
      </c>
      <c r="H3">
        <v>311</v>
      </c>
      <c r="I3">
        <v>566</v>
      </c>
      <c r="J3">
        <v>394</v>
      </c>
      <c r="K3">
        <v>9.7343639999999994</v>
      </c>
      <c r="L3" s="5" t="s">
        <v>9</v>
      </c>
    </row>
    <row r="4" spans="1:15" x14ac:dyDescent="0.3">
      <c r="A4" s="1" t="s">
        <v>10</v>
      </c>
      <c r="B4">
        <v>117.84518167456559</v>
      </c>
      <c r="C4">
        <v>0</v>
      </c>
      <c r="D4">
        <v>160.43964421855151</v>
      </c>
      <c r="E4">
        <v>7161.0082304526741</v>
      </c>
      <c r="G4" s="9">
        <v>45289</v>
      </c>
      <c r="H4">
        <v>313.5</v>
      </c>
      <c r="I4">
        <v>589.91999999999996</v>
      </c>
      <c r="J4">
        <v>489.5</v>
      </c>
      <c r="K4">
        <v>9.98</v>
      </c>
      <c r="L4" s="5" t="s">
        <v>41</v>
      </c>
    </row>
    <row r="5" spans="1:15" x14ac:dyDescent="0.3">
      <c r="A5" s="1" t="s">
        <v>11</v>
      </c>
      <c r="B5">
        <v>149</v>
      </c>
      <c r="C5">
        <v>0</v>
      </c>
      <c r="D5">
        <v>184</v>
      </c>
      <c r="E5">
        <v>4164</v>
      </c>
    </row>
    <row r="6" spans="1:15" x14ac:dyDescent="0.3">
      <c r="A6" s="1" t="s">
        <v>12</v>
      </c>
      <c r="B6">
        <v>-31.15481832543443</v>
      </c>
      <c r="C6">
        <v>0</v>
      </c>
      <c r="D6">
        <v>-23.56035578144855</v>
      </c>
      <c r="E6">
        <v>2997.0082304526741</v>
      </c>
      <c r="G6" s="3" t="s">
        <v>8</v>
      </c>
      <c r="H6" s="1" t="s">
        <v>1</v>
      </c>
      <c r="I6" s="1" t="s">
        <v>2</v>
      </c>
      <c r="J6" s="1" t="s">
        <v>3</v>
      </c>
      <c r="K6" s="1" t="s">
        <v>4</v>
      </c>
      <c r="L6" s="8" t="s">
        <v>25</v>
      </c>
      <c r="M6" s="1" t="s">
        <v>26</v>
      </c>
      <c r="N6" s="1" t="s">
        <v>14</v>
      </c>
      <c r="O6" s="1" t="s">
        <v>15</v>
      </c>
    </row>
    <row r="7" spans="1:15" x14ac:dyDescent="0.3">
      <c r="G7" s="9">
        <v>45260</v>
      </c>
      <c r="H7">
        <f>B5*H2</f>
        <v>47158.5</v>
      </c>
      <c r="I7">
        <f>C5*I2</f>
        <v>0</v>
      </c>
      <c r="J7">
        <f>D5*J2</f>
        <v>72404</v>
      </c>
      <c r="K7">
        <f>E5*K2</f>
        <v>40474.080000000002</v>
      </c>
      <c r="L7">
        <f>SUM(H7:K7)</f>
        <v>160036.58000000002</v>
      </c>
      <c r="M7">
        <f>'20231107'!M9</f>
        <v>163969.92000000001</v>
      </c>
      <c r="N7">
        <f>'20231107'!N8</f>
        <v>142313</v>
      </c>
      <c r="O7">
        <f>(M7/N7 - 1) * 100</f>
        <v>15.217808633083418</v>
      </c>
    </row>
    <row r="8" spans="1:15" x14ac:dyDescent="0.3">
      <c r="A8" s="2" t="s">
        <v>16</v>
      </c>
      <c r="B8" s="1" t="s">
        <v>1</v>
      </c>
      <c r="C8" s="1" t="s">
        <v>2</v>
      </c>
      <c r="D8" s="1" t="s">
        <v>3</v>
      </c>
      <c r="E8" s="1" t="s">
        <v>4</v>
      </c>
      <c r="G8" s="9">
        <v>45267</v>
      </c>
      <c r="H8">
        <f>B11*H3</f>
        <v>36698</v>
      </c>
      <c r="I8">
        <f>C11*I3</f>
        <v>0</v>
      </c>
      <c r="J8">
        <f>D11*J3</f>
        <v>63040</v>
      </c>
      <c r="K8">
        <f>E11*K3</f>
        <v>69707.780604</v>
      </c>
      <c r="L8">
        <f>SUM(H8:K8)</f>
        <v>169445.780604</v>
      </c>
      <c r="M8">
        <f>L8+H14-H16</f>
        <v>173315.120604</v>
      </c>
      <c r="N8">
        <f>ROUNDUP(N7+B13*H3+C13*I3+D13*J3+E13*K3, 0)+H15</f>
        <v>152401</v>
      </c>
      <c r="O8">
        <f>(M8/N8 - 1) * 100</f>
        <v>13.723086202846435</v>
      </c>
    </row>
    <row r="9" spans="1:15" x14ac:dyDescent="0.3">
      <c r="A9" s="1" t="s">
        <v>6</v>
      </c>
      <c r="B9">
        <f>B10/$L$8</f>
        <v>0.21657665283365393</v>
      </c>
      <c r="C9">
        <f>C10/$L$8</f>
        <v>0</v>
      </c>
      <c r="D9">
        <f>D10/$L$8</f>
        <v>0.37203641055734765</v>
      </c>
      <c r="E9">
        <f>E10/$L$8</f>
        <v>0.41138693660899839</v>
      </c>
      <c r="G9" s="9">
        <v>45289</v>
      </c>
      <c r="H9">
        <f>B11*H4</f>
        <v>36993</v>
      </c>
      <c r="I9">
        <f>C11*I4</f>
        <v>0</v>
      </c>
      <c r="J9">
        <f>D11*J4</f>
        <v>78320</v>
      </c>
      <c r="K9">
        <f>E11*K4</f>
        <v>71466.78</v>
      </c>
      <c r="L9">
        <f>SUM(H9:K9)</f>
        <v>186779.78</v>
      </c>
      <c r="M9">
        <f>L9+H14-H16</f>
        <v>190649.12</v>
      </c>
      <c r="N9">
        <f>N8</f>
        <v>152401</v>
      </c>
      <c r="O9">
        <f>(M9/N9 - 1) * 100</f>
        <v>25.097026922395528</v>
      </c>
    </row>
    <row r="10" spans="1:15" x14ac:dyDescent="0.3">
      <c r="A10" s="1" t="s">
        <v>8</v>
      </c>
      <c r="B10">
        <f>B11*H3</f>
        <v>36698</v>
      </c>
      <c r="C10">
        <f>C11*I3</f>
        <v>0</v>
      </c>
      <c r="D10">
        <f>D11*J3</f>
        <v>63040</v>
      </c>
      <c r="E10">
        <f>E11*K3</f>
        <v>69707.780604</v>
      </c>
    </row>
    <row r="11" spans="1:15" x14ac:dyDescent="0.3">
      <c r="A11" s="1" t="s">
        <v>10</v>
      </c>
      <c r="B11">
        <f>B12+B13</f>
        <v>118</v>
      </c>
      <c r="C11">
        <f>C12+C13</f>
        <v>0</v>
      </c>
      <c r="D11">
        <f>D12+D13</f>
        <v>160</v>
      </c>
      <c r="E11">
        <f>E12+E13</f>
        <v>7161</v>
      </c>
    </row>
    <row r="12" spans="1:15" x14ac:dyDescent="0.3">
      <c r="A12" s="1" t="s">
        <v>11</v>
      </c>
      <c r="B12">
        <v>149</v>
      </c>
      <c r="C12">
        <v>0</v>
      </c>
      <c r="D12">
        <v>184</v>
      </c>
      <c r="E12">
        <v>4164</v>
      </c>
      <c r="G12" s="6" t="s">
        <v>27</v>
      </c>
    </row>
    <row r="13" spans="1:15" x14ac:dyDescent="0.3">
      <c r="A13" s="1" t="s">
        <v>12</v>
      </c>
      <c r="B13">
        <v>-31</v>
      </c>
      <c r="C13">
        <v>0</v>
      </c>
      <c r="D13">
        <v>-24</v>
      </c>
      <c r="E13">
        <v>2997</v>
      </c>
      <c r="G13" t="s">
        <v>24</v>
      </c>
      <c r="H13">
        <v>0</v>
      </c>
    </row>
    <row r="14" spans="1:15" x14ac:dyDescent="0.3">
      <c r="A14" s="1" t="s">
        <v>17</v>
      </c>
      <c r="B14">
        <f>ROUND(B13*H3,0)</f>
        <v>-9641</v>
      </c>
      <c r="C14">
        <f>ROUND(C13*I3,0)</f>
        <v>0</v>
      </c>
      <c r="D14">
        <f>ROUND(D13*J3,0)</f>
        <v>-9456</v>
      </c>
      <c r="E14">
        <f>ROUND(E13*K3,0)</f>
        <v>29174</v>
      </c>
      <c r="G14" t="s">
        <v>22</v>
      </c>
      <c r="H14">
        <f>'20231107'!H14+H13</f>
        <v>4078.34</v>
      </c>
    </row>
    <row r="15" spans="1:15" x14ac:dyDescent="0.3">
      <c r="G15" t="s">
        <v>30</v>
      </c>
      <c r="H15">
        <v>11</v>
      </c>
    </row>
    <row r="16" spans="1:15" x14ac:dyDescent="0.3">
      <c r="A16" s="4" t="s">
        <v>18</v>
      </c>
      <c r="B16">
        <v>1.75</v>
      </c>
      <c r="G16" t="s">
        <v>31</v>
      </c>
      <c r="H16">
        <f>'20231107'!H15+64</f>
        <v>209</v>
      </c>
    </row>
    <row r="17" spans="1:2" x14ac:dyDescent="0.3">
      <c r="A17" s="4" t="s">
        <v>19</v>
      </c>
      <c r="B17">
        <v>4.9400000000000004</v>
      </c>
    </row>
    <row r="18" spans="1:2" x14ac:dyDescent="0.3">
      <c r="A18" s="4" t="s">
        <v>29</v>
      </c>
      <c r="B18">
        <v>-13474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18"/>
  <sheetViews>
    <sheetView workbookViewId="0"/>
  </sheetViews>
  <sheetFormatPr defaultRowHeight="15" x14ac:dyDescent="0.3"/>
  <cols>
    <col min="1" max="1" width="30.75" bestFit="1" customWidth="1"/>
    <col min="2" max="2" width="12.75" bestFit="1" customWidth="1"/>
    <col min="3" max="3" width="13.375" bestFit="1" customWidth="1"/>
    <col min="4" max="5" width="12.75" bestFit="1" customWidth="1"/>
    <col min="6" max="6" width="9" customWidth="1"/>
    <col min="7" max="7" width="17.25" bestFit="1" customWidth="1"/>
    <col min="8" max="11" width="9" customWidth="1"/>
    <col min="12" max="12" width="13.75" bestFit="1" customWidth="1"/>
    <col min="13" max="13" width="14.5" bestFit="1" customWidth="1"/>
    <col min="14" max="14" width="17.375" bestFit="1" customWidth="1"/>
    <col min="15" max="15" width="12.875" bestFit="1" customWidth="1"/>
  </cols>
  <sheetData>
    <row r="1" spans="1:15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3" t="s">
        <v>5</v>
      </c>
      <c r="H1" s="1" t="s">
        <v>1</v>
      </c>
      <c r="I1" s="1" t="s">
        <v>2</v>
      </c>
      <c r="J1" s="1" t="s">
        <v>3</v>
      </c>
      <c r="K1" s="1" t="s">
        <v>4</v>
      </c>
      <c r="L1" s="7"/>
    </row>
    <row r="2" spans="1:15" x14ac:dyDescent="0.3">
      <c r="A2" s="1" t="s">
        <v>6</v>
      </c>
      <c r="B2">
        <v>0.1938487093774828</v>
      </c>
      <c r="C2">
        <v>5.4195644765098177E-3</v>
      </c>
      <c r="D2">
        <v>0.32051400340725361</v>
      </c>
      <c r="E2">
        <v>0.48021772273875379</v>
      </c>
      <c r="G2" s="9">
        <v>45289</v>
      </c>
      <c r="H2">
        <v>313.5</v>
      </c>
      <c r="I2">
        <v>589.91999999999996</v>
      </c>
      <c r="J2">
        <v>489.5</v>
      </c>
      <c r="K2">
        <v>9.98</v>
      </c>
      <c r="L2" s="2" t="s">
        <v>7</v>
      </c>
    </row>
    <row r="3" spans="1:15" x14ac:dyDescent="0.3">
      <c r="A3" s="1" t="s">
        <v>8</v>
      </c>
      <c r="B3">
        <v>38146</v>
      </c>
      <c r="C3">
        <v>1066</v>
      </c>
      <c r="D3">
        <v>63071</v>
      </c>
      <c r="E3">
        <v>94497</v>
      </c>
      <c r="G3" s="9">
        <v>45300</v>
      </c>
      <c r="H3">
        <v>306</v>
      </c>
      <c r="I3">
        <v>583</v>
      </c>
      <c r="J3">
        <v>461</v>
      </c>
      <c r="K3">
        <v>9.9243279999999992</v>
      </c>
      <c r="L3" s="5" t="s">
        <v>9</v>
      </c>
    </row>
    <row r="4" spans="1:15" x14ac:dyDescent="0.3">
      <c r="A4" s="1" t="s">
        <v>10</v>
      </c>
      <c r="B4">
        <v>121.6778309409888</v>
      </c>
      <c r="C4">
        <v>1.8070344559380069</v>
      </c>
      <c r="D4">
        <v>128.84780388151171</v>
      </c>
      <c r="E4">
        <v>9468.6372745490971</v>
      </c>
      <c r="G4" s="9">
        <v>45322</v>
      </c>
      <c r="H4">
        <v>280</v>
      </c>
      <c r="I4">
        <v>628</v>
      </c>
      <c r="J4">
        <v>445.5</v>
      </c>
      <c r="K4">
        <v>9.42</v>
      </c>
      <c r="L4" s="5" t="s">
        <v>41</v>
      </c>
    </row>
    <row r="5" spans="1:15" x14ac:dyDescent="0.3">
      <c r="A5" s="1" t="s">
        <v>11</v>
      </c>
      <c r="B5">
        <v>118</v>
      </c>
      <c r="C5">
        <v>0</v>
      </c>
      <c r="D5">
        <v>160</v>
      </c>
      <c r="E5">
        <v>7161</v>
      </c>
    </row>
    <row r="6" spans="1:15" x14ac:dyDescent="0.3">
      <c r="A6" s="1" t="s">
        <v>12</v>
      </c>
      <c r="B6">
        <v>3.6778309409888408</v>
      </c>
      <c r="C6">
        <v>1.8070344559380069</v>
      </c>
      <c r="D6">
        <v>-31.152196118488259</v>
      </c>
      <c r="E6">
        <v>2307.6372745490971</v>
      </c>
      <c r="G6" s="3" t="s">
        <v>8</v>
      </c>
      <c r="H6" s="1" t="s">
        <v>1</v>
      </c>
      <c r="I6" s="1" t="s">
        <v>2</v>
      </c>
      <c r="J6" s="1" t="s">
        <v>3</v>
      </c>
      <c r="K6" s="1" t="s">
        <v>4</v>
      </c>
      <c r="L6" s="8" t="s">
        <v>25</v>
      </c>
      <c r="M6" s="1" t="s">
        <v>26</v>
      </c>
      <c r="N6" s="1" t="s">
        <v>14</v>
      </c>
      <c r="O6" s="1" t="s">
        <v>15</v>
      </c>
    </row>
    <row r="7" spans="1:15" x14ac:dyDescent="0.3">
      <c r="G7" s="9">
        <v>45289</v>
      </c>
      <c r="H7">
        <f>B5*H2</f>
        <v>36993</v>
      </c>
      <c r="I7">
        <f>C5*I2</f>
        <v>0</v>
      </c>
      <c r="J7">
        <f>D5*J2</f>
        <v>78320</v>
      </c>
      <c r="K7">
        <f>E5*K2</f>
        <v>71466.78</v>
      </c>
      <c r="L7">
        <f>SUM(H7:K7)</f>
        <v>186779.78</v>
      </c>
      <c r="M7">
        <f>'20231207'!M9</f>
        <v>190649.12</v>
      </c>
      <c r="N7">
        <f>'20231207'!N8</f>
        <v>152401</v>
      </c>
      <c r="O7">
        <f>(M7/N7 - 1) * 100</f>
        <v>25.097026922395528</v>
      </c>
    </row>
    <row r="8" spans="1:15" x14ac:dyDescent="0.3">
      <c r="A8" s="2" t="s">
        <v>16</v>
      </c>
      <c r="B8" s="1" t="s">
        <v>1</v>
      </c>
      <c r="C8" s="1" t="s">
        <v>2</v>
      </c>
      <c r="D8" s="1" t="s">
        <v>3</v>
      </c>
      <c r="E8" s="1" t="s">
        <v>4</v>
      </c>
      <c r="G8" s="9">
        <v>45300</v>
      </c>
      <c r="H8">
        <f>B11*H3</f>
        <v>37026</v>
      </c>
      <c r="I8">
        <f>C11*I3</f>
        <v>1166</v>
      </c>
      <c r="J8">
        <f>D11*J3</f>
        <v>59469</v>
      </c>
      <c r="K8">
        <f>E11*K3</f>
        <v>93973.461831999986</v>
      </c>
      <c r="L8">
        <f>SUM(H8:K8)</f>
        <v>191634.461832</v>
      </c>
      <c r="M8">
        <f>L8+H14-H16</f>
        <v>195455.801832</v>
      </c>
      <c r="N8">
        <f>ROUNDUP(N7+B13*H3+C13*I3+D13*J3+E13*K3, 0)+H15</f>
        <v>163110</v>
      </c>
      <c r="O8">
        <f>(M8/N8 - 1) * 100</f>
        <v>19.830667544601809</v>
      </c>
    </row>
    <row r="9" spans="1:15" x14ac:dyDescent="0.3">
      <c r="A9" s="1" t="s">
        <v>6</v>
      </c>
      <c r="B9">
        <f>B10/$L$8</f>
        <v>0.19321159485635495</v>
      </c>
      <c r="C9">
        <f>C10/$L$8</f>
        <v>6.0845006104496809E-3</v>
      </c>
      <c r="D9">
        <f>D10/$L$8</f>
        <v>0.31032518593724878</v>
      </c>
      <c r="E9">
        <f>E10/$L$8</f>
        <v>0.49037871859594656</v>
      </c>
      <c r="G9" s="9">
        <v>45322</v>
      </c>
      <c r="H9">
        <f>B11*H4</f>
        <v>33880</v>
      </c>
      <c r="I9">
        <f>C11*I4</f>
        <v>1256</v>
      </c>
      <c r="J9">
        <f>D11*J4</f>
        <v>57469.5</v>
      </c>
      <c r="K9">
        <f>E11*K4</f>
        <v>89197.98</v>
      </c>
      <c r="L9">
        <f>SUM(H9:K9)</f>
        <v>181803.47999999998</v>
      </c>
      <c r="M9">
        <f>L9+H14-H16</f>
        <v>185624.81999999998</v>
      </c>
      <c r="N9">
        <f>N8</f>
        <v>163110</v>
      </c>
      <c r="O9">
        <f>(M9/N9 - 1) * 100</f>
        <v>13.803457789221984</v>
      </c>
    </row>
    <row r="10" spans="1:15" x14ac:dyDescent="0.3">
      <c r="A10" s="1" t="s">
        <v>8</v>
      </c>
      <c r="B10">
        <f>B11*H3</f>
        <v>37026</v>
      </c>
      <c r="C10">
        <f>C11*I3</f>
        <v>1166</v>
      </c>
      <c r="D10">
        <f>D11*J3</f>
        <v>59469</v>
      </c>
      <c r="E10">
        <f>E11*K3</f>
        <v>93973.461831999986</v>
      </c>
    </row>
    <row r="11" spans="1:15" x14ac:dyDescent="0.3">
      <c r="A11" s="1" t="s">
        <v>10</v>
      </c>
      <c r="B11">
        <f>B12+B13</f>
        <v>121</v>
      </c>
      <c r="C11">
        <f>C12+C13</f>
        <v>2</v>
      </c>
      <c r="D11">
        <f>D12+D13</f>
        <v>129</v>
      </c>
      <c r="E11">
        <f>E12+E13</f>
        <v>9469</v>
      </c>
    </row>
    <row r="12" spans="1:15" x14ac:dyDescent="0.3">
      <c r="A12" s="1" t="s">
        <v>11</v>
      </c>
      <c r="B12">
        <v>118</v>
      </c>
      <c r="C12">
        <v>0</v>
      </c>
      <c r="D12">
        <v>160</v>
      </c>
      <c r="E12">
        <v>7161</v>
      </c>
      <c r="G12" s="6" t="s">
        <v>27</v>
      </c>
    </row>
    <row r="13" spans="1:15" x14ac:dyDescent="0.3">
      <c r="A13" s="1" t="s">
        <v>12</v>
      </c>
      <c r="B13">
        <v>3</v>
      </c>
      <c r="C13">
        <v>2</v>
      </c>
      <c r="D13">
        <v>-31</v>
      </c>
      <c r="E13">
        <v>2308</v>
      </c>
      <c r="G13" t="s">
        <v>24</v>
      </c>
      <c r="H13">
        <v>0</v>
      </c>
    </row>
    <row r="14" spans="1:15" x14ac:dyDescent="0.3">
      <c r="A14" s="1" t="s">
        <v>17</v>
      </c>
      <c r="B14">
        <f>ROUND(B13*H3,0)</f>
        <v>918</v>
      </c>
      <c r="C14">
        <f>ROUND(C13*I3,0)</f>
        <v>1166</v>
      </c>
      <c r="D14">
        <f>ROUND(D13*J3,0)</f>
        <v>-14291</v>
      </c>
      <c r="E14">
        <f>ROUND(E13*K3,0)</f>
        <v>22905</v>
      </c>
      <c r="G14" t="s">
        <v>22</v>
      </c>
      <c r="H14">
        <f>'20231207'!H14+H13</f>
        <v>4078.34</v>
      </c>
    </row>
    <row r="15" spans="1:15" x14ac:dyDescent="0.3">
      <c r="G15" t="s">
        <v>30</v>
      </c>
      <c r="H15">
        <f>7+3</f>
        <v>10</v>
      </c>
    </row>
    <row r="16" spans="1:15" x14ac:dyDescent="0.3">
      <c r="A16" s="4" t="s">
        <v>18</v>
      </c>
      <c r="B16">
        <v>1.8</v>
      </c>
      <c r="G16" t="s">
        <v>31</v>
      </c>
      <c r="H16">
        <f>'20231207'!H16+6+42</f>
        <v>257</v>
      </c>
    </row>
    <row r="17" spans="1:2" x14ac:dyDescent="0.3">
      <c r="A17" s="4" t="s">
        <v>19</v>
      </c>
      <c r="B17">
        <v>4.8899999999999997</v>
      </c>
    </row>
    <row r="18" spans="1:2" x14ac:dyDescent="0.3">
      <c r="A18" s="4" t="s">
        <v>29</v>
      </c>
      <c r="B18">
        <v>-15333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/>
  </sheetViews>
  <sheetFormatPr defaultRowHeight="15" x14ac:dyDescent="0.3"/>
  <cols>
    <col min="1" max="1" width="30.75" bestFit="1" customWidth="1"/>
    <col min="2" max="2" width="12.75" bestFit="1" customWidth="1"/>
    <col min="3" max="3" width="13.375" bestFit="1" customWidth="1"/>
    <col min="4" max="5" width="12.75" bestFit="1" customWidth="1"/>
    <col min="6" max="6" width="9" customWidth="1"/>
    <col min="7" max="7" width="17.25" bestFit="1" customWidth="1"/>
    <col min="8" max="11" width="9" customWidth="1"/>
    <col min="12" max="12" width="13.75" bestFit="1" customWidth="1"/>
    <col min="13" max="13" width="14.5" bestFit="1" customWidth="1"/>
    <col min="14" max="14" width="17.375" bestFit="1" customWidth="1"/>
    <col min="15" max="15" width="12.875" bestFit="1" customWidth="1"/>
  </cols>
  <sheetData>
    <row r="1" spans="1:15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3" t="s">
        <v>5</v>
      </c>
      <c r="H1" s="1" t="s">
        <v>1</v>
      </c>
      <c r="I1" s="1" t="s">
        <v>2</v>
      </c>
      <c r="J1" s="1" t="s">
        <v>3</v>
      </c>
      <c r="K1" s="1" t="s">
        <v>4</v>
      </c>
      <c r="L1" s="7"/>
    </row>
    <row r="2" spans="1:15" x14ac:dyDescent="0.3">
      <c r="A2" s="1" t="s">
        <v>6</v>
      </c>
      <c r="B2">
        <v>0.13332796682436571</v>
      </c>
      <c r="C2">
        <v>0.1171532656434235</v>
      </c>
      <c r="D2">
        <v>0.36478278022073057</v>
      </c>
      <c r="E2">
        <v>0.38473598731148012</v>
      </c>
      <c r="G2" s="9">
        <v>45322</v>
      </c>
      <c r="H2">
        <v>280</v>
      </c>
      <c r="I2">
        <v>628</v>
      </c>
      <c r="J2">
        <v>445.5</v>
      </c>
      <c r="K2">
        <v>9.42</v>
      </c>
      <c r="L2" s="2" t="s">
        <v>7</v>
      </c>
    </row>
    <row r="3" spans="1:15" x14ac:dyDescent="0.3">
      <c r="A3" s="1" t="s">
        <v>8</v>
      </c>
      <c r="B3">
        <v>25573</v>
      </c>
      <c r="C3">
        <v>22470</v>
      </c>
      <c r="D3">
        <v>69967</v>
      </c>
      <c r="E3">
        <v>73794</v>
      </c>
      <c r="G3" s="9">
        <v>45327</v>
      </c>
      <c r="H3">
        <v>286</v>
      </c>
      <c r="I3">
        <v>645</v>
      </c>
      <c r="J3">
        <v>451</v>
      </c>
      <c r="K3">
        <v>9.3925870000000007</v>
      </c>
      <c r="L3" s="5" t="s">
        <v>9</v>
      </c>
    </row>
    <row r="4" spans="1:15" x14ac:dyDescent="0.3">
      <c r="A4" s="1" t="s">
        <v>10</v>
      </c>
      <c r="B4">
        <v>91.332142857142856</v>
      </c>
      <c r="C4">
        <v>35.780254777070063</v>
      </c>
      <c r="D4">
        <v>157.0527497194164</v>
      </c>
      <c r="E4">
        <v>7833.7579617834399</v>
      </c>
      <c r="G4" s="9">
        <v>45351</v>
      </c>
      <c r="H4">
        <v>294.5</v>
      </c>
      <c r="I4">
        <v>690</v>
      </c>
      <c r="J4">
        <v>455</v>
      </c>
      <c r="K4">
        <v>9.9499999999999993</v>
      </c>
      <c r="L4" s="5" t="s">
        <v>41</v>
      </c>
    </row>
    <row r="5" spans="1:15" x14ac:dyDescent="0.3">
      <c r="A5" s="1" t="s">
        <v>11</v>
      </c>
      <c r="B5">
        <v>121</v>
      </c>
      <c r="C5">
        <v>2</v>
      </c>
      <c r="D5">
        <v>129</v>
      </c>
      <c r="E5">
        <v>9469</v>
      </c>
    </row>
    <row r="6" spans="1:15" x14ac:dyDescent="0.3">
      <c r="A6" s="1" t="s">
        <v>12</v>
      </c>
      <c r="B6">
        <v>-29.667857142857141</v>
      </c>
      <c r="C6">
        <v>33.780254777070063</v>
      </c>
      <c r="D6">
        <v>28.052749719416401</v>
      </c>
      <c r="E6">
        <v>-1635.2420382165601</v>
      </c>
      <c r="G6" s="3" t="s">
        <v>8</v>
      </c>
      <c r="H6" s="1" t="s">
        <v>1</v>
      </c>
      <c r="I6" s="1" t="s">
        <v>2</v>
      </c>
      <c r="J6" s="1" t="s">
        <v>3</v>
      </c>
      <c r="K6" s="1" t="s">
        <v>4</v>
      </c>
      <c r="L6" s="8" t="s">
        <v>25</v>
      </c>
      <c r="M6" s="1" t="s">
        <v>26</v>
      </c>
      <c r="N6" s="1" t="s">
        <v>14</v>
      </c>
      <c r="O6" s="1" t="s">
        <v>15</v>
      </c>
    </row>
    <row r="7" spans="1:15" x14ac:dyDescent="0.3">
      <c r="G7" s="9">
        <v>45322</v>
      </c>
      <c r="H7">
        <f>B5*H2</f>
        <v>33880</v>
      </c>
      <c r="I7">
        <f>C5*I2</f>
        <v>1256</v>
      </c>
      <c r="J7">
        <f>D5*J2</f>
        <v>57469.5</v>
      </c>
      <c r="K7">
        <f>E5*K2</f>
        <v>89197.98</v>
      </c>
      <c r="L7">
        <f>SUM(H7:K7)</f>
        <v>181803.47999999998</v>
      </c>
      <c r="M7">
        <f>'20240109'!M9</f>
        <v>185624.81999999998</v>
      </c>
      <c r="N7">
        <f>'20240109'!N8</f>
        <v>163110</v>
      </c>
      <c r="O7">
        <f>(M7/N7 - 1) * 100</f>
        <v>13.803457789221984</v>
      </c>
    </row>
    <row r="8" spans="1:15" x14ac:dyDescent="0.3">
      <c r="A8" s="2" t="s">
        <v>16</v>
      </c>
      <c r="B8" s="1" t="s">
        <v>1</v>
      </c>
      <c r="C8" s="1" t="s">
        <v>2</v>
      </c>
      <c r="D8" s="1" t="s">
        <v>3</v>
      </c>
      <c r="E8" s="1" t="s">
        <v>4</v>
      </c>
      <c r="G8" s="9">
        <v>45327</v>
      </c>
      <c r="H8">
        <f>B11*H3</f>
        <v>26026</v>
      </c>
      <c r="I8">
        <f>C11*I3</f>
        <v>23220</v>
      </c>
      <c r="J8">
        <f>D11*J3</f>
        <v>70807</v>
      </c>
      <c r="K8">
        <f>E11*K3</f>
        <v>73581.526558000012</v>
      </c>
      <c r="L8">
        <f>SUM(H8:K8)</f>
        <v>193634.52655800001</v>
      </c>
      <c r="M8">
        <f>L8+H14-H16</f>
        <v>197378.86655800001</v>
      </c>
      <c r="N8">
        <f>ROUNDUP(N7+B13*H3+C13*I3+D13*J3+E13*K3, 0)+H15</f>
        <v>173746</v>
      </c>
      <c r="O8">
        <f>(M8/N8 - 1) * 100</f>
        <v>13.601962956269498</v>
      </c>
    </row>
    <row r="9" spans="1:15" x14ac:dyDescent="0.3">
      <c r="A9" s="1" t="s">
        <v>6</v>
      </c>
      <c r="B9">
        <f>B10/$L$8</f>
        <v>0.13440784793203883</v>
      </c>
      <c r="C9">
        <f>C10/$L$8</f>
        <v>0.11991663063789831</v>
      </c>
      <c r="D9">
        <f>D10/$L$8</f>
        <v>0.36567342229016653</v>
      </c>
      <c r="E9">
        <f>E10/$L$8</f>
        <v>0.38000209913989635</v>
      </c>
      <c r="G9" s="9">
        <v>45351</v>
      </c>
      <c r="H9">
        <f>B11*H4</f>
        <v>26799.5</v>
      </c>
      <c r="I9">
        <f>C11*I4</f>
        <v>24840</v>
      </c>
      <c r="J9">
        <f>D11*J4</f>
        <v>71435</v>
      </c>
      <c r="K9">
        <f>E11*K4</f>
        <v>77948.299999999988</v>
      </c>
      <c r="L9">
        <f>SUM(H9:K9)</f>
        <v>201022.8</v>
      </c>
      <c r="M9">
        <f>L9+H14-H16</f>
        <v>204767.13999999998</v>
      </c>
      <c r="N9">
        <f>N8</f>
        <v>173746</v>
      </c>
      <c r="O9">
        <f>(M9/N9 - 1) * 100</f>
        <v>17.85430455952941</v>
      </c>
    </row>
    <row r="10" spans="1:15" x14ac:dyDescent="0.3">
      <c r="A10" s="1" t="s">
        <v>8</v>
      </c>
      <c r="B10">
        <f>B11*H3</f>
        <v>26026</v>
      </c>
      <c r="C10">
        <f>C11*I3</f>
        <v>23220</v>
      </c>
      <c r="D10">
        <f>D11*J3</f>
        <v>70807</v>
      </c>
      <c r="E10">
        <f>E11*K3</f>
        <v>73581.526558000012</v>
      </c>
    </row>
    <row r="11" spans="1:15" x14ac:dyDescent="0.3">
      <c r="A11" s="1" t="s">
        <v>10</v>
      </c>
      <c r="B11">
        <f>B12+B13</f>
        <v>91</v>
      </c>
      <c r="C11">
        <f>C12+C13</f>
        <v>36</v>
      </c>
      <c r="D11">
        <f>D12+D13</f>
        <v>157</v>
      </c>
      <c r="E11">
        <f>E12+E13</f>
        <v>7834</v>
      </c>
    </row>
    <row r="12" spans="1:15" x14ac:dyDescent="0.3">
      <c r="A12" s="1" t="s">
        <v>11</v>
      </c>
      <c r="B12">
        <v>121</v>
      </c>
      <c r="C12">
        <v>2</v>
      </c>
      <c r="D12">
        <v>129</v>
      </c>
      <c r="E12">
        <v>9469</v>
      </c>
      <c r="G12" s="6" t="s">
        <v>27</v>
      </c>
    </row>
    <row r="13" spans="1:15" x14ac:dyDescent="0.3">
      <c r="A13" s="1" t="s">
        <v>12</v>
      </c>
      <c r="B13">
        <v>-30</v>
      </c>
      <c r="C13">
        <v>34</v>
      </c>
      <c r="D13">
        <v>28</v>
      </c>
      <c r="E13">
        <v>-1635</v>
      </c>
      <c r="G13" t="s">
        <v>24</v>
      </c>
      <c r="H13">
        <v>0</v>
      </c>
    </row>
    <row r="14" spans="1:15" x14ac:dyDescent="0.3">
      <c r="A14" s="1" t="s">
        <v>17</v>
      </c>
      <c r="B14">
        <f>ROUND(B13*H3,0)</f>
        <v>-8580</v>
      </c>
      <c r="C14">
        <f>ROUND(C13*I3,0)</f>
        <v>21930</v>
      </c>
      <c r="D14">
        <f>ROUND(D13*J3,0)</f>
        <v>12628</v>
      </c>
      <c r="E14">
        <f>ROUND(E13*K3,0)</f>
        <v>-15357</v>
      </c>
      <c r="G14" t="s">
        <v>22</v>
      </c>
      <c r="H14">
        <f>'20240109'!H14+H13</f>
        <v>4078.34</v>
      </c>
    </row>
    <row r="15" spans="1:15" x14ac:dyDescent="0.3">
      <c r="G15" t="s">
        <v>30</v>
      </c>
      <c r="H15">
        <f>9+5</f>
        <v>14</v>
      </c>
    </row>
    <row r="16" spans="1:15" x14ac:dyDescent="0.3">
      <c r="A16" s="4" t="s">
        <v>18</v>
      </c>
      <c r="B16">
        <v>1.75</v>
      </c>
      <c r="G16" t="s">
        <v>31</v>
      </c>
      <c r="H16">
        <f>'20240109'!H16+8+69</f>
        <v>334</v>
      </c>
    </row>
    <row r="17" spans="1:2" x14ac:dyDescent="0.3">
      <c r="A17" s="4" t="s">
        <v>19</v>
      </c>
      <c r="B17">
        <v>5.15</v>
      </c>
    </row>
    <row r="18" spans="1:2" x14ac:dyDescent="0.3">
      <c r="A18" s="4" t="s">
        <v>29</v>
      </c>
      <c r="B18">
        <v>-15990</v>
      </c>
    </row>
  </sheetData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18"/>
  <sheetViews>
    <sheetView workbookViewId="0"/>
  </sheetViews>
  <sheetFormatPr defaultRowHeight="15" x14ac:dyDescent="0.3"/>
  <cols>
    <col min="1" max="1" width="30.75" bestFit="1" customWidth="1"/>
    <col min="2" max="2" width="12.75" bestFit="1" customWidth="1"/>
    <col min="3" max="3" width="13.375" bestFit="1" customWidth="1"/>
    <col min="4" max="5" width="12.75" bestFit="1" customWidth="1"/>
    <col min="6" max="6" width="9" customWidth="1"/>
    <col min="7" max="7" width="17.25" bestFit="1" customWidth="1"/>
    <col min="8" max="11" width="9" customWidth="1"/>
    <col min="12" max="12" width="13.75" bestFit="1" customWidth="1"/>
    <col min="13" max="13" width="14.5" bestFit="1" customWidth="1"/>
    <col min="14" max="14" width="17.375" bestFit="1" customWidth="1"/>
    <col min="15" max="15" width="12.875" bestFit="1" customWidth="1"/>
  </cols>
  <sheetData>
    <row r="1" spans="1:15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3" t="s">
        <v>5</v>
      </c>
      <c r="H1" s="1" t="s">
        <v>1</v>
      </c>
      <c r="I1" s="1" t="s">
        <v>2</v>
      </c>
      <c r="J1" s="1" t="s">
        <v>3</v>
      </c>
      <c r="K1" s="1" t="s">
        <v>4</v>
      </c>
      <c r="L1" s="7"/>
    </row>
    <row r="2" spans="1:15" x14ac:dyDescent="0.3">
      <c r="A2" s="1" t="s">
        <v>6</v>
      </c>
      <c r="B2">
        <v>0.1183411372430218</v>
      </c>
      <c r="C2">
        <v>0.11650969607386891</v>
      </c>
      <c r="D2">
        <v>0.33568388664297638</v>
      </c>
      <c r="E2">
        <v>0.4294652800401329</v>
      </c>
      <c r="G2" s="9">
        <v>45351</v>
      </c>
      <c r="H2">
        <v>294.5</v>
      </c>
      <c r="I2">
        <v>690</v>
      </c>
      <c r="J2">
        <v>455</v>
      </c>
      <c r="K2">
        <v>9.9499999999999993</v>
      </c>
      <c r="L2" s="2" t="s">
        <v>7</v>
      </c>
    </row>
    <row r="3" spans="1:15" x14ac:dyDescent="0.3">
      <c r="A3" s="1" t="s">
        <v>8</v>
      </c>
      <c r="B3">
        <v>24973</v>
      </c>
      <c r="C3">
        <v>24586</v>
      </c>
      <c r="D3">
        <v>70837</v>
      </c>
      <c r="E3">
        <v>90627</v>
      </c>
      <c r="G3" s="9">
        <v>45365</v>
      </c>
      <c r="H3">
        <v>310.5</v>
      </c>
      <c r="I3">
        <v>784</v>
      </c>
      <c r="J3">
        <v>431.5</v>
      </c>
      <c r="K3">
        <v>10.25</v>
      </c>
      <c r="L3" s="5" t="s">
        <v>9</v>
      </c>
    </row>
    <row r="4" spans="1:15" x14ac:dyDescent="0.3">
      <c r="A4" s="1" t="s">
        <v>10</v>
      </c>
      <c r="B4">
        <v>84.797962648556876</v>
      </c>
      <c r="C4">
        <v>35.631884057971007</v>
      </c>
      <c r="D4">
        <v>155.68571428571431</v>
      </c>
      <c r="E4">
        <v>9108.2412060301522</v>
      </c>
      <c r="G4" s="9">
        <v>45380</v>
      </c>
      <c r="H4">
        <v>342</v>
      </c>
      <c r="I4">
        <v>772.39</v>
      </c>
      <c r="J4">
        <v>425.5</v>
      </c>
      <c r="K4">
        <v>9.99</v>
      </c>
      <c r="L4" s="5" t="s">
        <v>41</v>
      </c>
    </row>
    <row r="5" spans="1:15" x14ac:dyDescent="0.3">
      <c r="A5" s="1" t="s">
        <v>11</v>
      </c>
      <c r="B5">
        <v>91</v>
      </c>
      <c r="C5">
        <v>36</v>
      </c>
      <c r="D5">
        <v>157</v>
      </c>
      <c r="E5">
        <v>7834</v>
      </c>
    </row>
    <row r="6" spans="1:15" x14ac:dyDescent="0.3">
      <c r="A6" s="1" t="s">
        <v>12</v>
      </c>
      <c r="B6">
        <v>-6.2020373514431242</v>
      </c>
      <c r="C6">
        <v>-0.3681159420289859</v>
      </c>
      <c r="D6">
        <v>-1.3142857142857169</v>
      </c>
      <c r="E6">
        <v>1274.2412060301519</v>
      </c>
      <c r="G6" s="3" t="s">
        <v>8</v>
      </c>
      <c r="H6" s="1" t="s">
        <v>1</v>
      </c>
      <c r="I6" s="1" t="s">
        <v>2</v>
      </c>
      <c r="J6" s="1" t="s">
        <v>3</v>
      </c>
      <c r="K6" s="1" t="s">
        <v>4</v>
      </c>
      <c r="L6" s="8" t="s">
        <v>25</v>
      </c>
      <c r="M6" s="1" t="s">
        <v>26</v>
      </c>
      <c r="N6" s="1" t="s">
        <v>14</v>
      </c>
      <c r="O6" s="1" t="s">
        <v>15</v>
      </c>
    </row>
    <row r="7" spans="1:15" x14ac:dyDescent="0.3">
      <c r="G7" s="9">
        <v>45351</v>
      </c>
      <c r="H7">
        <f>B5*H2</f>
        <v>26799.5</v>
      </c>
      <c r="I7">
        <f>C5*I2</f>
        <v>24840</v>
      </c>
      <c r="J7">
        <f>D5*J2</f>
        <v>71435</v>
      </c>
      <c r="K7">
        <f>E5*K2</f>
        <v>77948.299999999988</v>
      </c>
      <c r="L7">
        <f>SUM(H7:K7)</f>
        <v>201022.8</v>
      </c>
      <c r="M7">
        <f>'20240205'!M9</f>
        <v>204767.13999999998</v>
      </c>
      <c r="N7">
        <f>'20240205'!N8</f>
        <v>173746</v>
      </c>
      <c r="O7">
        <f>(M7/N7 - 1) * 100</f>
        <v>17.85430455952941</v>
      </c>
    </row>
    <row r="8" spans="1:15" x14ac:dyDescent="0.3">
      <c r="A8" s="2" t="s">
        <v>16</v>
      </c>
      <c r="B8" s="1" t="s">
        <v>1</v>
      </c>
      <c r="C8" s="1" t="s">
        <v>2</v>
      </c>
      <c r="D8" s="1" t="s">
        <v>3</v>
      </c>
      <c r="E8" s="1" t="s">
        <v>4</v>
      </c>
      <c r="G8" s="9">
        <v>45365</v>
      </c>
      <c r="H8">
        <f>B11*H3</f>
        <v>26392.5</v>
      </c>
      <c r="I8">
        <f>C11*I3</f>
        <v>28224</v>
      </c>
      <c r="J8">
        <f>D11*J3</f>
        <v>67314</v>
      </c>
      <c r="K8">
        <f>E11*K3</f>
        <v>93357</v>
      </c>
      <c r="L8">
        <f>SUM(H8:K8)</f>
        <v>215287.5</v>
      </c>
      <c r="M8">
        <f>L8+H14-H16</f>
        <v>219143.84</v>
      </c>
      <c r="N8">
        <f>ROUNDUP(N7+B13*H3+C13*I3+D13*J3+E13*K3, 0)+H15</f>
        <v>184514</v>
      </c>
      <c r="O8">
        <f>(M8/N8 - 1) * 100</f>
        <v>18.768136835145288</v>
      </c>
    </row>
    <row r="9" spans="1:15" x14ac:dyDescent="0.3">
      <c r="A9" s="1" t="s">
        <v>6</v>
      </c>
      <c r="B9">
        <f>B10/$L$8</f>
        <v>0.12259188294722174</v>
      </c>
      <c r="C9">
        <f>C10/$L$8</f>
        <v>0.13109911165302213</v>
      </c>
      <c r="D9">
        <f>D10/$L$8</f>
        <v>0.31267026650409335</v>
      </c>
      <c r="E9">
        <f>E10/$L$8</f>
        <v>0.43363873889566279</v>
      </c>
      <c r="G9" s="9">
        <v>45380</v>
      </c>
      <c r="H9">
        <f>B11*H4</f>
        <v>29070</v>
      </c>
      <c r="I9">
        <f>C11*I4</f>
        <v>27806.04</v>
      </c>
      <c r="J9">
        <f>D11*J4</f>
        <v>66378</v>
      </c>
      <c r="K9">
        <f>E11*K4</f>
        <v>90988.92</v>
      </c>
      <c r="L9">
        <f>SUM(H9:K9)</f>
        <v>214242.96000000002</v>
      </c>
      <c r="M9">
        <f>L9+H14-H16</f>
        <v>218099.30000000002</v>
      </c>
      <c r="N9">
        <f>N8</f>
        <v>184514</v>
      </c>
      <c r="O9">
        <f>(M9/N9 - 1) * 100</f>
        <v>18.202033450036325</v>
      </c>
    </row>
    <row r="10" spans="1:15" x14ac:dyDescent="0.3">
      <c r="A10" s="1" t="s">
        <v>8</v>
      </c>
      <c r="B10">
        <f>B11*H3</f>
        <v>26392.5</v>
      </c>
      <c r="C10">
        <f>C11*I3</f>
        <v>28224</v>
      </c>
      <c r="D10">
        <f>D11*J3</f>
        <v>67314</v>
      </c>
      <c r="E10">
        <f>E11*K3</f>
        <v>93357</v>
      </c>
    </row>
    <row r="11" spans="1:15" x14ac:dyDescent="0.3">
      <c r="A11" s="1" t="s">
        <v>10</v>
      </c>
      <c r="B11">
        <f>B12+B13</f>
        <v>85</v>
      </c>
      <c r="C11">
        <f>C12+C13</f>
        <v>36</v>
      </c>
      <c r="D11">
        <f>D12+D13</f>
        <v>156</v>
      </c>
      <c r="E11">
        <f>E12+E13</f>
        <v>9108</v>
      </c>
    </row>
    <row r="12" spans="1:15" x14ac:dyDescent="0.3">
      <c r="A12" s="1" t="s">
        <v>11</v>
      </c>
      <c r="B12">
        <v>91</v>
      </c>
      <c r="C12">
        <v>36</v>
      </c>
      <c r="D12">
        <v>157</v>
      </c>
      <c r="E12">
        <v>7834</v>
      </c>
      <c r="G12" s="6" t="s">
        <v>32</v>
      </c>
    </row>
    <row r="13" spans="1:15" x14ac:dyDescent="0.3">
      <c r="A13" s="1" t="s">
        <v>12</v>
      </c>
      <c r="B13">
        <v>-6</v>
      </c>
      <c r="C13">
        <v>0</v>
      </c>
      <c r="D13">
        <v>-1</v>
      </c>
      <c r="E13">
        <v>1274</v>
      </c>
      <c r="G13" t="s">
        <v>24</v>
      </c>
      <c r="H13">
        <v>120</v>
      </c>
    </row>
    <row r="14" spans="1:15" x14ac:dyDescent="0.3">
      <c r="A14" s="1" t="s">
        <v>17</v>
      </c>
      <c r="B14">
        <f>ROUND(B13*H3,0)</f>
        <v>-1863</v>
      </c>
      <c r="C14">
        <f>ROUND(C13*I3,0)</f>
        <v>0</v>
      </c>
      <c r="D14">
        <f>ROUND(D13*J3,0)</f>
        <v>-432</v>
      </c>
      <c r="E14">
        <f>ROUND(E13*K3,0)</f>
        <v>13059</v>
      </c>
      <c r="G14" t="s">
        <v>22</v>
      </c>
      <c r="H14">
        <f>'20240205'!H14+H13</f>
        <v>4198.34</v>
      </c>
    </row>
    <row r="15" spans="1:15" x14ac:dyDescent="0.3">
      <c r="G15" t="s">
        <v>30</v>
      </c>
      <c r="H15">
        <v>4</v>
      </c>
    </row>
    <row r="16" spans="1:15" x14ac:dyDescent="0.3">
      <c r="A16" s="4" t="s">
        <v>18</v>
      </c>
      <c r="B16">
        <v>1.75</v>
      </c>
      <c r="G16" t="s">
        <v>31</v>
      </c>
      <c r="H16">
        <f>'20240205'!H16+2+6</f>
        <v>342</v>
      </c>
    </row>
    <row r="17" spans="1:2" x14ac:dyDescent="0.3">
      <c r="A17" s="4" t="s">
        <v>19</v>
      </c>
      <c r="B17">
        <v>5.0199999999999996</v>
      </c>
    </row>
    <row r="18" spans="1:2" x14ac:dyDescent="0.3">
      <c r="A18" s="4" t="s">
        <v>29</v>
      </c>
      <c r="B18">
        <v>-17073</v>
      </c>
    </row>
  </sheetData>
  <phoneticPr fontId="2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18"/>
  <sheetViews>
    <sheetView workbookViewId="0"/>
  </sheetViews>
  <sheetFormatPr defaultRowHeight="15" x14ac:dyDescent="0.3"/>
  <cols>
    <col min="1" max="1" width="30.75" bestFit="1" customWidth="1"/>
    <col min="2" max="2" width="12.75" bestFit="1" customWidth="1"/>
    <col min="3" max="3" width="13.375" bestFit="1" customWidth="1"/>
    <col min="4" max="5" width="12.75" bestFit="1" customWidth="1"/>
    <col min="6" max="6" width="9" customWidth="1"/>
    <col min="7" max="7" width="17.25" bestFit="1" customWidth="1"/>
    <col min="8" max="11" width="9" customWidth="1"/>
    <col min="12" max="12" width="13.75" bestFit="1" customWidth="1"/>
    <col min="13" max="13" width="14.5" bestFit="1" customWidth="1"/>
    <col min="14" max="14" width="17.375" bestFit="1" customWidth="1"/>
    <col min="15" max="15" width="12.875" bestFit="1" customWidth="1"/>
  </cols>
  <sheetData>
    <row r="1" spans="1:15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3" t="s">
        <v>5</v>
      </c>
      <c r="H1" s="1" t="s">
        <v>1</v>
      </c>
      <c r="I1" s="1" t="s">
        <v>2</v>
      </c>
      <c r="J1" s="1" t="s">
        <v>3</v>
      </c>
      <c r="K1" s="1" t="s">
        <v>4</v>
      </c>
      <c r="L1" s="7"/>
    </row>
    <row r="2" spans="1:15" x14ac:dyDescent="0.3">
      <c r="A2" s="1" t="s">
        <v>6</v>
      </c>
      <c r="B2">
        <v>0.14525465708993801</v>
      </c>
      <c r="C2">
        <v>0.1182054461375245</v>
      </c>
      <c r="D2">
        <v>0.31215355787158672</v>
      </c>
      <c r="E2">
        <v>0.42438633890095068</v>
      </c>
      <c r="G2" s="9">
        <v>45380</v>
      </c>
      <c r="H2">
        <v>342</v>
      </c>
      <c r="I2">
        <v>772.39</v>
      </c>
      <c r="J2">
        <v>425.5</v>
      </c>
      <c r="K2">
        <v>9.99</v>
      </c>
      <c r="L2" s="2" t="s">
        <v>7</v>
      </c>
    </row>
    <row r="3" spans="1:15" x14ac:dyDescent="0.3">
      <c r="A3" s="1" t="s">
        <v>8</v>
      </c>
      <c r="B3">
        <v>32572</v>
      </c>
      <c r="C3">
        <v>26507</v>
      </c>
      <c r="D3">
        <v>69998</v>
      </c>
      <c r="E3">
        <v>95166</v>
      </c>
      <c r="G3" s="9">
        <v>45391</v>
      </c>
      <c r="H3">
        <v>334</v>
      </c>
      <c r="I3">
        <v>799</v>
      </c>
      <c r="J3">
        <v>425.5</v>
      </c>
      <c r="K3">
        <v>10</v>
      </c>
      <c r="L3" s="5" t="s">
        <v>9</v>
      </c>
    </row>
    <row r="4" spans="1:15" x14ac:dyDescent="0.3">
      <c r="A4" s="1" t="s">
        <v>10</v>
      </c>
      <c r="B4">
        <v>95.239766081871352</v>
      </c>
      <c r="C4">
        <v>34.318019110751571</v>
      </c>
      <c r="D4">
        <v>164.50763807285551</v>
      </c>
      <c r="E4">
        <v>9526.1261261261261</v>
      </c>
      <c r="G4" s="9">
        <v>45412</v>
      </c>
      <c r="H4">
        <v>320.5</v>
      </c>
      <c r="I4">
        <v>790</v>
      </c>
      <c r="J4">
        <v>430</v>
      </c>
      <c r="K4">
        <v>9.98</v>
      </c>
      <c r="L4" s="5" t="s">
        <v>41</v>
      </c>
    </row>
    <row r="5" spans="1:15" x14ac:dyDescent="0.3">
      <c r="A5" s="1" t="s">
        <v>11</v>
      </c>
      <c r="B5">
        <v>85</v>
      </c>
      <c r="C5">
        <v>36</v>
      </c>
      <c r="D5">
        <v>156</v>
      </c>
      <c r="E5">
        <v>9108</v>
      </c>
    </row>
    <row r="6" spans="1:15" x14ac:dyDescent="0.3">
      <c r="A6" s="1" t="s">
        <v>12</v>
      </c>
      <c r="B6">
        <v>10.23976608187135</v>
      </c>
      <c r="C6">
        <v>-1.6819808892484289</v>
      </c>
      <c r="D6">
        <v>8.5076380728554568</v>
      </c>
      <c r="E6">
        <v>418.12612612612611</v>
      </c>
      <c r="G6" s="3" t="s">
        <v>8</v>
      </c>
      <c r="H6" s="1" t="s">
        <v>1</v>
      </c>
      <c r="I6" s="1" t="s">
        <v>2</v>
      </c>
      <c r="J6" s="1" t="s">
        <v>3</v>
      </c>
      <c r="K6" s="1" t="s">
        <v>4</v>
      </c>
      <c r="L6" s="8" t="s">
        <v>25</v>
      </c>
      <c r="M6" s="1" t="s">
        <v>26</v>
      </c>
      <c r="N6" s="1" t="s">
        <v>14</v>
      </c>
      <c r="O6" s="1" t="s">
        <v>15</v>
      </c>
    </row>
    <row r="7" spans="1:15" x14ac:dyDescent="0.3">
      <c r="G7" s="9">
        <v>45380</v>
      </c>
      <c r="H7">
        <f>B5*H2</f>
        <v>29070</v>
      </c>
      <c r="I7">
        <f>C5*I2</f>
        <v>27806.04</v>
      </c>
      <c r="J7">
        <f>D5*J2</f>
        <v>66378</v>
      </c>
      <c r="K7">
        <f>E5*K2</f>
        <v>90988.92</v>
      </c>
      <c r="L7">
        <f>SUM(H7:K7)</f>
        <v>214242.96000000002</v>
      </c>
      <c r="M7">
        <f>'20240314'!M9</f>
        <v>218099.30000000002</v>
      </c>
      <c r="N7">
        <f>'20240314'!N8</f>
        <v>184514</v>
      </c>
      <c r="O7">
        <f>(M7/N7 - 1) * 100</f>
        <v>18.202033450036325</v>
      </c>
    </row>
    <row r="8" spans="1:15" x14ac:dyDescent="0.3">
      <c r="A8" s="2" t="s">
        <v>16</v>
      </c>
      <c r="B8" s="1" t="s">
        <v>1</v>
      </c>
      <c r="C8" s="1" t="s">
        <v>2</v>
      </c>
      <c r="D8" s="1" t="s">
        <v>3</v>
      </c>
      <c r="E8" s="1" t="s">
        <v>4</v>
      </c>
      <c r="G8" s="9">
        <v>45391</v>
      </c>
      <c r="H8">
        <f>B11*H3</f>
        <v>31730</v>
      </c>
      <c r="I8">
        <f>C11*I3</f>
        <v>27166</v>
      </c>
      <c r="J8">
        <f>D11*J3</f>
        <v>70207.5</v>
      </c>
      <c r="K8">
        <f>E11*K3</f>
        <v>95260</v>
      </c>
      <c r="L8">
        <f>SUM(H8:K8)</f>
        <v>224363.5</v>
      </c>
      <c r="M8">
        <f>L8+H14-H16</f>
        <v>228214.84</v>
      </c>
      <c r="N8">
        <f>ROUNDUP(N7+B13*H3+C13*I3+D13*J3+E13*K3, 0)+H15</f>
        <v>194269</v>
      </c>
      <c r="O8">
        <f>(M8/N8 - 1) * 100</f>
        <v>17.473626775244643</v>
      </c>
    </row>
    <row r="9" spans="1:15" x14ac:dyDescent="0.3">
      <c r="A9" s="1" t="s">
        <v>6</v>
      </c>
      <c r="B9">
        <f>B10/$L$8</f>
        <v>0.14142229016751834</v>
      </c>
      <c r="C9">
        <f>C10/$L$8</f>
        <v>0.12108030049451003</v>
      </c>
      <c r="D9">
        <f>D10/$L$8</f>
        <v>0.31291854512877543</v>
      </c>
      <c r="E9">
        <f>E10/$L$8</f>
        <v>0.42457886420919622</v>
      </c>
      <c r="G9" s="9">
        <v>45412</v>
      </c>
      <c r="H9">
        <f>B11*H4</f>
        <v>30447.5</v>
      </c>
      <c r="I9">
        <f>C11*I4</f>
        <v>26860</v>
      </c>
      <c r="J9">
        <f>D11*J4</f>
        <v>70950</v>
      </c>
      <c r="K9">
        <f>E11*K4</f>
        <v>95069.48000000001</v>
      </c>
      <c r="L9">
        <f>SUM(H9:K9)</f>
        <v>223326.98</v>
      </c>
      <c r="M9">
        <f>L9+H14-H16</f>
        <v>227178.32</v>
      </c>
      <c r="N9">
        <f>N8</f>
        <v>194269</v>
      </c>
      <c r="O9">
        <f>(M9/N9 - 1) * 100</f>
        <v>16.940077933175136</v>
      </c>
    </row>
    <row r="10" spans="1:15" x14ac:dyDescent="0.3">
      <c r="A10" s="1" t="s">
        <v>8</v>
      </c>
      <c r="B10">
        <f>B11*H3</f>
        <v>31730</v>
      </c>
      <c r="C10">
        <f>C11*I3</f>
        <v>27166</v>
      </c>
      <c r="D10">
        <f>D11*J3</f>
        <v>70207.5</v>
      </c>
      <c r="E10">
        <f>E11*K3</f>
        <v>95260</v>
      </c>
    </row>
    <row r="11" spans="1:15" x14ac:dyDescent="0.3">
      <c r="A11" s="1" t="s">
        <v>10</v>
      </c>
      <c r="B11">
        <f>B12+B13</f>
        <v>95</v>
      </c>
      <c r="C11">
        <f>C12+C13</f>
        <v>34</v>
      </c>
      <c r="D11">
        <f>D12+D13</f>
        <v>165</v>
      </c>
      <c r="E11">
        <f>E12+E13</f>
        <v>9526</v>
      </c>
    </row>
    <row r="12" spans="1:15" x14ac:dyDescent="0.3">
      <c r="A12" s="1" t="s">
        <v>11</v>
      </c>
      <c r="B12">
        <v>85</v>
      </c>
      <c r="C12">
        <v>36</v>
      </c>
      <c r="D12">
        <v>156</v>
      </c>
      <c r="E12">
        <v>9108</v>
      </c>
      <c r="G12" s="6" t="s">
        <v>27</v>
      </c>
    </row>
    <row r="13" spans="1:15" x14ac:dyDescent="0.3">
      <c r="A13" s="1" t="s">
        <v>12</v>
      </c>
      <c r="B13">
        <v>10</v>
      </c>
      <c r="C13">
        <v>-2</v>
      </c>
      <c r="D13">
        <v>9</v>
      </c>
      <c r="E13">
        <v>418</v>
      </c>
      <c r="G13" t="s">
        <v>24</v>
      </c>
      <c r="H13">
        <v>0</v>
      </c>
    </row>
    <row r="14" spans="1:15" x14ac:dyDescent="0.3">
      <c r="A14" s="1" t="s">
        <v>17</v>
      </c>
      <c r="B14">
        <f>ROUND(B13*H3,0)</f>
        <v>3340</v>
      </c>
      <c r="C14">
        <f>ROUND(C13*I3,0)</f>
        <v>-1598</v>
      </c>
      <c r="D14">
        <f>ROUND(D13*J3,0)</f>
        <v>3830</v>
      </c>
      <c r="E14">
        <f>ROUND(E13*K3,0)</f>
        <v>4180</v>
      </c>
      <c r="G14" t="s">
        <v>22</v>
      </c>
      <c r="H14">
        <f>'20240314'!H14+H13</f>
        <v>4198.34</v>
      </c>
    </row>
    <row r="15" spans="1:15" x14ac:dyDescent="0.3">
      <c r="G15" t="s">
        <v>30</v>
      </c>
      <c r="H15">
        <v>3</v>
      </c>
    </row>
    <row r="16" spans="1:15" x14ac:dyDescent="0.3">
      <c r="A16" s="4" t="s">
        <v>18</v>
      </c>
      <c r="B16">
        <v>1.75</v>
      </c>
      <c r="G16" t="s">
        <v>31</v>
      </c>
      <c r="H16">
        <f>'20240314'!H16+5</f>
        <v>347</v>
      </c>
    </row>
    <row r="17" spans="1:2" x14ac:dyDescent="0.3">
      <c r="A17" s="4" t="s">
        <v>19</v>
      </c>
      <c r="B17">
        <v>4.97</v>
      </c>
    </row>
    <row r="18" spans="1:2" x14ac:dyDescent="0.3">
      <c r="A18" s="4" t="s">
        <v>29</v>
      </c>
      <c r="B18">
        <v>-17973</v>
      </c>
    </row>
  </sheetData>
  <phoneticPr fontId="2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18"/>
  <sheetViews>
    <sheetView workbookViewId="0">
      <selection activeCell="E29" sqref="E29"/>
    </sheetView>
  </sheetViews>
  <sheetFormatPr defaultRowHeight="15" x14ac:dyDescent="0.3"/>
  <cols>
    <col min="1" max="1" width="30.75" bestFit="1" customWidth="1"/>
    <col min="2" max="2" width="12.75" bestFit="1" customWidth="1"/>
    <col min="3" max="3" width="13.375" bestFit="1" customWidth="1"/>
    <col min="4" max="5" width="12.75" bestFit="1" customWidth="1"/>
    <col min="6" max="6" width="9" customWidth="1"/>
    <col min="7" max="7" width="17.25" bestFit="1" customWidth="1"/>
    <col min="8" max="11" width="9" customWidth="1"/>
    <col min="12" max="12" width="13.75" bestFit="1" customWidth="1"/>
    <col min="13" max="13" width="14.5" bestFit="1" customWidth="1"/>
    <col min="14" max="14" width="17.375" bestFit="1" customWidth="1"/>
    <col min="15" max="15" width="12.875" bestFit="1" customWidth="1"/>
  </cols>
  <sheetData>
    <row r="1" spans="1:15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3" t="s">
        <v>5</v>
      </c>
      <c r="H1" s="1" t="s">
        <v>1</v>
      </c>
      <c r="I1" s="1" t="s">
        <v>2</v>
      </c>
      <c r="J1" s="1" t="s">
        <v>3</v>
      </c>
      <c r="K1" s="1" t="s">
        <v>4</v>
      </c>
      <c r="L1" s="7"/>
    </row>
    <row r="2" spans="1:15" x14ac:dyDescent="0.3">
      <c r="A2" s="1" t="s">
        <v>6</v>
      </c>
      <c r="B2">
        <v>0.11967762407105929</v>
      </c>
      <c r="C2">
        <v>0.15164338221773091</v>
      </c>
      <c r="D2">
        <v>0.32841801899913992</v>
      </c>
      <c r="E2">
        <v>0.40026097471207001</v>
      </c>
      <c r="G2" s="9">
        <v>45412</v>
      </c>
      <c r="H2">
        <v>320.5</v>
      </c>
      <c r="I2">
        <v>790</v>
      </c>
      <c r="J2">
        <v>430</v>
      </c>
      <c r="K2">
        <v>9.98</v>
      </c>
      <c r="L2" s="2" t="s">
        <v>7</v>
      </c>
    </row>
    <row r="3" spans="1:15" x14ac:dyDescent="0.3">
      <c r="A3" s="1" t="s">
        <v>8</v>
      </c>
      <c r="B3">
        <v>27924</v>
      </c>
      <c r="C3">
        <v>35382</v>
      </c>
      <c r="D3">
        <v>76629</v>
      </c>
      <c r="E3">
        <v>93392</v>
      </c>
      <c r="G3" s="9">
        <v>45419</v>
      </c>
      <c r="H3">
        <v>324</v>
      </c>
      <c r="I3">
        <v>798</v>
      </c>
      <c r="J3">
        <v>458.5</v>
      </c>
      <c r="K3">
        <v>10.15</v>
      </c>
      <c r="L3" s="5" t="s">
        <v>9</v>
      </c>
    </row>
    <row r="4" spans="1:15" x14ac:dyDescent="0.3">
      <c r="A4" s="1" t="s">
        <v>10</v>
      </c>
      <c r="B4">
        <v>87.126365054602189</v>
      </c>
      <c r="C4">
        <v>44.787341772151898</v>
      </c>
      <c r="D4">
        <v>178.20697674418611</v>
      </c>
      <c r="E4">
        <v>9357.9158316633257</v>
      </c>
      <c r="G4" s="9">
        <v>45443</v>
      </c>
      <c r="H4">
        <v>325</v>
      </c>
      <c r="I4">
        <v>821</v>
      </c>
      <c r="J4">
        <v>513</v>
      </c>
      <c r="K4">
        <v>10.5</v>
      </c>
      <c r="L4" s="5" t="s">
        <v>41</v>
      </c>
    </row>
    <row r="5" spans="1:15" x14ac:dyDescent="0.3">
      <c r="A5" s="1" t="s">
        <v>11</v>
      </c>
      <c r="B5">
        <v>95</v>
      </c>
      <c r="C5">
        <v>34</v>
      </c>
      <c r="D5">
        <v>165</v>
      </c>
      <c r="E5">
        <v>9526</v>
      </c>
    </row>
    <row r="6" spans="1:15" x14ac:dyDescent="0.3">
      <c r="A6" s="1" t="s">
        <v>12</v>
      </c>
      <c r="B6">
        <v>-7.8736349453978107</v>
      </c>
      <c r="C6">
        <v>10.787341772151899</v>
      </c>
      <c r="D6">
        <v>13.206976744186051</v>
      </c>
      <c r="E6">
        <v>-168.08416833667431</v>
      </c>
      <c r="G6" s="3" t="s">
        <v>8</v>
      </c>
      <c r="H6" s="1" t="s">
        <v>1</v>
      </c>
      <c r="I6" s="1" t="s">
        <v>2</v>
      </c>
      <c r="J6" s="1" t="s">
        <v>3</v>
      </c>
      <c r="K6" s="1" t="s">
        <v>4</v>
      </c>
      <c r="L6" s="8" t="s">
        <v>25</v>
      </c>
      <c r="M6" s="1" t="s">
        <v>26</v>
      </c>
      <c r="N6" s="1" t="s">
        <v>14</v>
      </c>
      <c r="O6" s="1" t="s">
        <v>15</v>
      </c>
    </row>
    <row r="7" spans="1:15" x14ac:dyDescent="0.3">
      <c r="G7" s="9">
        <v>45412</v>
      </c>
      <c r="H7">
        <f>B5*H2</f>
        <v>30447.5</v>
      </c>
      <c r="I7">
        <f>C5*I2</f>
        <v>26860</v>
      </c>
      <c r="J7">
        <f>D5*J2</f>
        <v>70950</v>
      </c>
      <c r="K7">
        <f>E5*K2</f>
        <v>95069.48000000001</v>
      </c>
      <c r="L7">
        <f>SUM(H7:K7)</f>
        <v>223326.98</v>
      </c>
      <c r="M7">
        <f>'20240409'!M9</f>
        <v>227178.32</v>
      </c>
      <c r="N7">
        <f>'20240409'!N8</f>
        <v>194269</v>
      </c>
      <c r="O7">
        <f>(M7/N7 - 1) * 100</f>
        <v>16.940077933175136</v>
      </c>
    </row>
    <row r="8" spans="1:15" x14ac:dyDescent="0.3">
      <c r="A8" s="2" t="s">
        <v>16</v>
      </c>
      <c r="B8" s="1" t="s">
        <v>1</v>
      </c>
      <c r="C8" s="1" t="s">
        <v>2</v>
      </c>
      <c r="D8" s="1" t="s">
        <v>3</v>
      </c>
      <c r="E8" s="1" t="s">
        <v>4</v>
      </c>
      <c r="G8" s="9">
        <v>45419</v>
      </c>
      <c r="H8">
        <f>B11*H3</f>
        <v>28188</v>
      </c>
      <c r="I8">
        <f>C11*I3</f>
        <v>35910</v>
      </c>
      <c r="J8">
        <f>D11*J3</f>
        <v>81613</v>
      </c>
      <c r="K8">
        <f>E11*K3</f>
        <v>94983.7</v>
      </c>
      <c r="L8">
        <f>SUM(H8:K8)</f>
        <v>240694.7</v>
      </c>
      <c r="M8">
        <f>L8+H14-H16</f>
        <v>244532.04</v>
      </c>
      <c r="N8">
        <f>ROUNDUP(N7+B13*H3+C13*I3+D13*J3+E13*K3, 0)+H15</f>
        <v>204716</v>
      </c>
      <c r="O8">
        <f>(M8/N8 - 1) * 100</f>
        <v>19.449403075480177</v>
      </c>
    </row>
    <row r="9" spans="1:15" x14ac:dyDescent="0.3">
      <c r="A9" s="1" t="s">
        <v>6</v>
      </c>
      <c r="B9">
        <f>B10/$L$8</f>
        <v>0.11711101241531284</v>
      </c>
      <c r="C9">
        <f>C10/$L$8</f>
        <v>0.14919314800035063</v>
      </c>
      <c r="D9">
        <f>D10/$L$8</f>
        <v>0.33907269250216143</v>
      </c>
      <c r="E9">
        <f>E10/$L$8</f>
        <v>0.394623147082175</v>
      </c>
      <c r="G9" s="9">
        <v>45443</v>
      </c>
      <c r="H9">
        <f>B11*H4</f>
        <v>28275</v>
      </c>
      <c r="I9">
        <f>C11*I4</f>
        <v>36945</v>
      </c>
      <c r="J9">
        <f>D11*J4</f>
        <v>91314</v>
      </c>
      <c r="K9">
        <f>E11*K4</f>
        <v>98259</v>
      </c>
      <c r="L9">
        <f>SUM(H9:K9)</f>
        <v>254793</v>
      </c>
      <c r="M9">
        <f>L9+H14-H16</f>
        <v>258630.34</v>
      </c>
      <c r="N9">
        <f>N8</f>
        <v>204716</v>
      </c>
      <c r="O9">
        <f>(M9/N9 - 1) * 100</f>
        <v>26.336163270091252</v>
      </c>
    </row>
    <row r="10" spans="1:15" x14ac:dyDescent="0.3">
      <c r="A10" s="1" t="s">
        <v>8</v>
      </c>
      <c r="B10">
        <f>B11*H3</f>
        <v>28188</v>
      </c>
      <c r="C10">
        <f>C11*I3</f>
        <v>35910</v>
      </c>
      <c r="D10">
        <f>D11*J3</f>
        <v>81613</v>
      </c>
      <c r="E10">
        <f>E11*K3</f>
        <v>94983.7</v>
      </c>
    </row>
    <row r="11" spans="1:15" x14ac:dyDescent="0.3">
      <c r="A11" s="1" t="s">
        <v>10</v>
      </c>
      <c r="B11">
        <f>B12+B13</f>
        <v>87</v>
      </c>
      <c r="C11">
        <f>C12+C13</f>
        <v>45</v>
      </c>
      <c r="D11">
        <f>D12+D13</f>
        <v>178</v>
      </c>
      <c r="E11">
        <f>E12+E13</f>
        <v>9358</v>
      </c>
    </row>
    <row r="12" spans="1:15" x14ac:dyDescent="0.3">
      <c r="A12" s="1" t="s">
        <v>11</v>
      </c>
      <c r="B12">
        <f>B5</f>
        <v>95</v>
      </c>
      <c r="C12">
        <f>C5</f>
        <v>34</v>
      </c>
      <c r="D12">
        <f>D5</f>
        <v>165</v>
      </c>
      <c r="E12">
        <f>E5</f>
        <v>9526</v>
      </c>
      <c r="G12" s="6" t="s">
        <v>27</v>
      </c>
    </row>
    <row r="13" spans="1:15" x14ac:dyDescent="0.3">
      <c r="A13" s="1" t="s">
        <v>12</v>
      </c>
      <c r="B13">
        <f>ROUND(B6, 0)</f>
        <v>-8</v>
      </c>
      <c r="C13">
        <f>ROUND(C6, 0)</f>
        <v>11</v>
      </c>
      <c r="D13">
        <f>ROUND(D6, 0)</f>
        <v>13</v>
      </c>
      <c r="E13">
        <f>ROUND(E6, 0)</f>
        <v>-168</v>
      </c>
      <c r="G13" t="s">
        <v>24</v>
      </c>
      <c r="H13">
        <v>0</v>
      </c>
    </row>
    <row r="14" spans="1:15" x14ac:dyDescent="0.3">
      <c r="A14" s="1" t="s">
        <v>17</v>
      </c>
      <c r="B14">
        <f>ROUND(B13*H3,0)</f>
        <v>-2592</v>
      </c>
      <c r="C14">
        <f>ROUND(C13*I3,0)</f>
        <v>8778</v>
      </c>
      <c r="D14">
        <f>ROUND(D13*J3,0)</f>
        <v>5961</v>
      </c>
      <c r="E14">
        <f>ROUND(E13*K3,0)</f>
        <v>-1705</v>
      </c>
      <c r="G14" t="s">
        <v>22</v>
      </c>
      <c r="H14">
        <f>'20240409'!H14+H13</f>
        <v>4198.34</v>
      </c>
    </row>
    <row r="15" spans="1:15" x14ac:dyDescent="0.3">
      <c r="G15" t="s">
        <v>30</v>
      </c>
      <c r="H15">
        <v>5</v>
      </c>
    </row>
    <row r="16" spans="1:15" x14ac:dyDescent="0.3">
      <c r="A16" s="4" t="s">
        <v>18</v>
      </c>
      <c r="B16">
        <v>1.75</v>
      </c>
      <c r="G16" t="s">
        <v>31</v>
      </c>
      <c r="H16">
        <f>'20240409'!H16+14</f>
        <v>361</v>
      </c>
    </row>
    <row r="17" spans="1:2" x14ac:dyDescent="0.3">
      <c r="A17" s="4" t="s">
        <v>19</v>
      </c>
      <c r="B17">
        <v>4.9800000000000004</v>
      </c>
    </row>
    <row r="18" spans="1:2" x14ac:dyDescent="0.3">
      <c r="A18" s="4" t="s">
        <v>29</v>
      </c>
      <c r="B18">
        <v>-18710</v>
      </c>
    </row>
  </sheetData>
  <phoneticPr fontId="2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18"/>
  <sheetViews>
    <sheetView workbookViewId="0"/>
  </sheetViews>
  <sheetFormatPr defaultRowHeight="15" x14ac:dyDescent="0.3"/>
  <cols>
    <col min="1" max="1" width="30.75" bestFit="1" customWidth="1"/>
    <col min="2" max="2" width="12.75" bestFit="1" customWidth="1"/>
    <col min="3" max="3" width="13.375" bestFit="1" customWidth="1"/>
    <col min="4" max="5" width="12.75" bestFit="1" customWidth="1"/>
    <col min="6" max="6" width="9" customWidth="1"/>
    <col min="7" max="7" width="17.25" bestFit="1" customWidth="1"/>
    <col min="8" max="11" width="9" customWidth="1"/>
    <col min="12" max="12" width="13.75" bestFit="1" customWidth="1"/>
    <col min="13" max="13" width="14.5" bestFit="1" customWidth="1"/>
    <col min="14" max="14" width="17.375" bestFit="1" customWidth="1"/>
    <col min="15" max="15" width="12.875" bestFit="1" customWidth="1"/>
  </cols>
  <sheetData>
    <row r="1" spans="1:15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3" t="s">
        <v>5</v>
      </c>
      <c r="H1" s="1" t="s">
        <v>1</v>
      </c>
      <c r="I1" s="1" t="s">
        <v>2</v>
      </c>
      <c r="J1" s="1" t="s">
        <v>3</v>
      </c>
      <c r="K1" s="1" t="s">
        <v>4</v>
      </c>
      <c r="L1" s="7"/>
    </row>
    <row r="2" spans="1:15" x14ac:dyDescent="0.3">
      <c r="A2" s="1" t="s">
        <v>6</v>
      </c>
      <c r="B2">
        <v>0.1136921055489305</v>
      </c>
      <c r="C2">
        <v>0.13144376800445531</v>
      </c>
      <c r="D2">
        <v>0.29668480142078102</v>
      </c>
      <c r="E2">
        <v>0.45817932502583308</v>
      </c>
      <c r="G2" s="9">
        <v>45443</v>
      </c>
      <c r="H2">
        <v>325</v>
      </c>
      <c r="I2">
        <v>821</v>
      </c>
      <c r="J2">
        <v>513</v>
      </c>
      <c r="K2">
        <v>10.5</v>
      </c>
      <c r="L2" s="2" t="s">
        <v>7</v>
      </c>
    </row>
    <row r="3" spans="1:15" x14ac:dyDescent="0.3">
      <c r="A3" s="1" t="s">
        <v>8</v>
      </c>
      <c r="B3">
        <v>30105</v>
      </c>
      <c r="C3">
        <v>34805</v>
      </c>
      <c r="D3">
        <v>78560</v>
      </c>
      <c r="E3">
        <v>121323</v>
      </c>
      <c r="G3" s="9">
        <v>45450</v>
      </c>
      <c r="H3">
        <v>343.5</v>
      </c>
      <c r="I3">
        <v>881</v>
      </c>
      <c r="J3">
        <v>493</v>
      </c>
      <c r="K3">
        <v>10.733340999999999</v>
      </c>
      <c r="L3" s="5" t="s">
        <v>9</v>
      </c>
    </row>
    <row r="4" spans="1:15" x14ac:dyDescent="0.3">
      <c r="A4" s="1" t="s">
        <v>10</v>
      </c>
      <c r="B4">
        <v>92.630769230769232</v>
      </c>
      <c r="C4">
        <v>42.393422655298423</v>
      </c>
      <c r="D4">
        <v>153.13840155945419</v>
      </c>
      <c r="E4">
        <v>11554.571428571429</v>
      </c>
      <c r="G4" s="9">
        <v>45471</v>
      </c>
      <c r="H4">
        <v>387.5</v>
      </c>
      <c r="I4">
        <v>966</v>
      </c>
      <c r="J4">
        <v>498</v>
      </c>
      <c r="K4">
        <v>10.5</v>
      </c>
      <c r="L4" s="5" t="s">
        <v>45</v>
      </c>
    </row>
    <row r="5" spans="1:15" x14ac:dyDescent="0.3">
      <c r="A5" s="1" t="s">
        <v>11</v>
      </c>
      <c r="B5">
        <v>87</v>
      </c>
      <c r="C5">
        <v>45</v>
      </c>
      <c r="D5">
        <v>178</v>
      </c>
      <c r="E5">
        <v>9358</v>
      </c>
    </row>
    <row r="6" spans="1:15" x14ac:dyDescent="0.3">
      <c r="A6" s="1" t="s">
        <v>12</v>
      </c>
      <c r="B6">
        <v>5.6307692307692321</v>
      </c>
      <c r="C6">
        <v>-2.6065773447015839</v>
      </c>
      <c r="D6">
        <v>-24.861598440545809</v>
      </c>
      <c r="E6">
        <v>2196.5714285714289</v>
      </c>
      <c r="G6" s="3" t="s">
        <v>8</v>
      </c>
      <c r="H6" s="1" t="s">
        <v>1</v>
      </c>
      <c r="I6" s="1" t="s">
        <v>2</v>
      </c>
      <c r="J6" s="1" t="s">
        <v>3</v>
      </c>
      <c r="K6" s="1" t="s">
        <v>4</v>
      </c>
      <c r="L6" s="8" t="s">
        <v>25</v>
      </c>
      <c r="M6" s="1" t="s">
        <v>26</v>
      </c>
      <c r="N6" s="1" t="s">
        <v>14</v>
      </c>
      <c r="O6" s="1" t="s">
        <v>15</v>
      </c>
    </row>
    <row r="7" spans="1:15" x14ac:dyDescent="0.3">
      <c r="G7" s="9">
        <v>45443</v>
      </c>
      <c r="H7">
        <f>B5*H2</f>
        <v>28275</v>
      </c>
      <c r="I7">
        <f>C5*I2</f>
        <v>36945</v>
      </c>
      <c r="J7">
        <f>D5*J2</f>
        <v>91314</v>
      </c>
      <c r="K7">
        <f>E5*K2</f>
        <v>98259</v>
      </c>
      <c r="L7">
        <f>SUM(H7:K7)</f>
        <v>254793</v>
      </c>
      <c r="M7">
        <f>'20240507'!M9</f>
        <v>258630.34</v>
      </c>
      <c r="N7">
        <f>'20240507'!N8</f>
        <v>204716</v>
      </c>
      <c r="O7">
        <f>(M7/N7 - 1) * 100</f>
        <v>26.336163270091252</v>
      </c>
    </row>
    <row r="8" spans="1:15" x14ac:dyDescent="0.3">
      <c r="A8" s="2" t="s">
        <v>16</v>
      </c>
      <c r="B8" s="1" t="s">
        <v>1</v>
      </c>
      <c r="C8" s="1" t="s">
        <v>2</v>
      </c>
      <c r="D8" s="1" t="s">
        <v>3</v>
      </c>
      <c r="E8" s="1" t="s">
        <v>4</v>
      </c>
      <c r="G8" s="9">
        <v>45450</v>
      </c>
      <c r="H8">
        <f>B11*H3</f>
        <v>31945.5</v>
      </c>
      <c r="I8">
        <f>C11*I3</f>
        <v>37002</v>
      </c>
      <c r="J8">
        <f>D11*J3</f>
        <v>75429</v>
      </c>
      <c r="K8">
        <f>E11*K3</f>
        <v>124023.755255</v>
      </c>
      <c r="L8">
        <f>SUM(H8:K8)</f>
        <v>268400.25525499997</v>
      </c>
      <c r="M8">
        <f>L8+H14-H16</f>
        <v>272902.59525499999</v>
      </c>
      <c r="N8">
        <f>ROUNDUP(N7+B13*H3+C13*I3+D13*J3+E13*K3, 0)+H15</f>
        <v>215426</v>
      </c>
      <c r="O8">
        <f>(M8/N8 - 1) * 100</f>
        <v>26.680435627547272</v>
      </c>
    </row>
    <row r="9" spans="1:15" x14ac:dyDescent="0.3">
      <c r="A9" s="1" t="s">
        <v>6</v>
      </c>
      <c r="B9">
        <f>B10/$L$8</f>
        <v>0.11902186892352032</v>
      </c>
      <c r="C9">
        <f>C10/$L$8</f>
        <v>0.13786126978473021</v>
      </c>
      <c r="D9">
        <f>D10/$L$8</f>
        <v>0.28103177446063493</v>
      </c>
      <c r="E9">
        <f>E10/$L$8</f>
        <v>0.46208508683111466</v>
      </c>
      <c r="G9" s="9">
        <v>45471</v>
      </c>
      <c r="H9">
        <f>B11*H4</f>
        <v>36037.5</v>
      </c>
      <c r="I9">
        <f>C11*I4</f>
        <v>40572</v>
      </c>
      <c r="J9">
        <f>D11*J4</f>
        <v>76194</v>
      </c>
      <c r="K9">
        <f>E11*K4</f>
        <v>121327.5</v>
      </c>
      <c r="L9">
        <f>SUM(H9:K9)</f>
        <v>274131</v>
      </c>
      <c r="M9">
        <f>L9+H14-H16</f>
        <v>278633.34000000003</v>
      </c>
      <c r="N9">
        <f>N8</f>
        <v>215426</v>
      </c>
      <c r="O9">
        <f>(M9/N9 - 1) * 100</f>
        <v>29.340627408019483</v>
      </c>
    </row>
    <row r="10" spans="1:15" x14ac:dyDescent="0.3">
      <c r="A10" s="1" t="s">
        <v>8</v>
      </c>
      <c r="B10">
        <f>B11*H3</f>
        <v>31945.5</v>
      </c>
      <c r="C10">
        <f>C11*I3</f>
        <v>37002</v>
      </c>
      <c r="D10">
        <f>D11*J3</f>
        <v>75429</v>
      </c>
      <c r="E10">
        <f>E11*K3</f>
        <v>124023.755255</v>
      </c>
    </row>
    <row r="11" spans="1:15" x14ac:dyDescent="0.3">
      <c r="A11" s="1" t="s">
        <v>10</v>
      </c>
      <c r="B11">
        <f>B12+B13</f>
        <v>93</v>
      </c>
      <c r="C11">
        <f>C12+C13</f>
        <v>42</v>
      </c>
      <c r="D11">
        <f>D12+D13</f>
        <v>153</v>
      </c>
      <c r="E11">
        <f>E12+E13</f>
        <v>11555</v>
      </c>
    </row>
    <row r="12" spans="1:15" x14ac:dyDescent="0.3">
      <c r="A12" s="1" t="s">
        <v>11</v>
      </c>
      <c r="B12">
        <f>B5</f>
        <v>87</v>
      </c>
      <c r="C12">
        <f>C5</f>
        <v>45</v>
      </c>
      <c r="D12">
        <f>D5</f>
        <v>178</v>
      </c>
      <c r="E12">
        <f>E5</f>
        <v>9358</v>
      </c>
      <c r="G12" s="6" t="s">
        <v>33</v>
      </c>
    </row>
    <row r="13" spans="1:15" x14ac:dyDescent="0.3">
      <c r="A13" s="1" t="s">
        <v>12</v>
      </c>
      <c r="B13">
        <f>ROUND(B6, 0)</f>
        <v>6</v>
      </c>
      <c r="C13">
        <f>ROUND(C6, 0)</f>
        <v>-3</v>
      </c>
      <c r="D13">
        <f>ROUND(D6, 0)</f>
        <v>-25</v>
      </c>
      <c r="E13">
        <f>ROUND(E6, 0)</f>
        <v>2197</v>
      </c>
      <c r="G13" t="s">
        <v>24</v>
      </c>
      <c r="H13">
        <f>587+141</f>
        <v>728</v>
      </c>
    </row>
    <row r="14" spans="1:15" x14ac:dyDescent="0.3">
      <c r="A14" s="1" t="s">
        <v>17</v>
      </c>
      <c r="B14">
        <f>ROUND(B13*H3,0)</f>
        <v>2061</v>
      </c>
      <c r="C14">
        <f>ROUND(C13*I3,0)</f>
        <v>-2643</v>
      </c>
      <c r="D14">
        <f>ROUND(D13*J3,0)</f>
        <v>-12325</v>
      </c>
      <c r="E14">
        <f>ROUND(E13*K3,0)</f>
        <v>23581</v>
      </c>
      <c r="G14" t="s">
        <v>22</v>
      </c>
      <c r="H14">
        <f>'20240507'!H14+H13</f>
        <v>4926.34</v>
      </c>
    </row>
    <row r="15" spans="1:15" x14ac:dyDescent="0.3">
      <c r="G15" t="s">
        <v>30</v>
      </c>
      <c r="H15">
        <v>35</v>
      </c>
    </row>
    <row r="16" spans="1:15" x14ac:dyDescent="0.3">
      <c r="A16" s="4" t="s">
        <v>18</v>
      </c>
      <c r="B16">
        <v>1.8</v>
      </c>
      <c r="G16" t="s">
        <v>31</v>
      </c>
      <c r="H16">
        <f>'20240507'!H16+63</f>
        <v>424</v>
      </c>
    </row>
    <row r="17" spans="1:2" x14ac:dyDescent="0.3">
      <c r="A17" s="4" t="s">
        <v>19</v>
      </c>
      <c r="B17">
        <v>4.93</v>
      </c>
    </row>
    <row r="18" spans="1:2" x14ac:dyDescent="0.3">
      <c r="A18" s="4" t="s">
        <v>29</v>
      </c>
      <c r="B18">
        <v>-20841</v>
      </c>
    </row>
  </sheetData>
  <phoneticPr fontId="2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18"/>
  <sheetViews>
    <sheetView workbookViewId="0"/>
  </sheetViews>
  <sheetFormatPr defaultRowHeight="15" x14ac:dyDescent="0.3"/>
  <cols>
    <col min="1" max="1" width="30.75" bestFit="1" customWidth="1"/>
    <col min="2" max="2" width="12.75" bestFit="1" customWidth="1"/>
    <col min="3" max="3" width="13.375" bestFit="1" customWidth="1"/>
    <col min="4" max="5" width="12.75" bestFit="1" customWidth="1"/>
    <col min="6" max="6" width="9" customWidth="1"/>
    <col min="7" max="7" width="17.25" bestFit="1" customWidth="1"/>
    <col min="8" max="11" width="9" customWidth="1"/>
    <col min="12" max="12" width="13.75" bestFit="1" customWidth="1"/>
    <col min="13" max="13" width="14.5" bestFit="1" customWidth="1"/>
    <col min="14" max="14" width="17.375" bestFit="1" customWidth="1"/>
    <col min="15" max="15" width="12.875" bestFit="1" customWidth="1"/>
  </cols>
  <sheetData>
    <row r="1" spans="1:15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3" t="s">
        <v>5</v>
      </c>
      <c r="H1" s="1" t="s">
        <v>1</v>
      </c>
      <c r="I1" s="1" t="s">
        <v>2</v>
      </c>
      <c r="J1" s="1" t="s">
        <v>3</v>
      </c>
      <c r="K1" s="1" t="s">
        <v>4</v>
      </c>
      <c r="L1" s="7"/>
    </row>
    <row r="2" spans="1:15" x14ac:dyDescent="0.3">
      <c r="A2" s="1" t="s">
        <v>6</v>
      </c>
      <c r="B2">
        <v>0.12522023654500439</v>
      </c>
      <c r="C2">
        <v>0.13684851653273539</v>
      </c>
      <c r="D2">
        <v>0.29080377089609261</v>
      </c>
      <c r="E2">
        <v>0.44712747602616759</v>
      </c>
      <c r="G2" s="9">
        <v>45471</v>
      </c>
      <c r="H2">
        <v>387.5</v>
      </c>
      <c r="I2">
        <v>966</v>
      </c>
      <c r="J2">
        <v>498</v>
      </c>
      <c r="K2">
        <v>10.5</v>
      </c>
      <c r="L2" s="2" t="s">
        <v>7</v>
      </c>
    </row>
    <row r="3" spans="1:15" x14ac:dyDescent="0.3">
      <c r="A3" s="1" t="s">
        <v>8</v>
      </c>
      <c r="B3">
        <v>35477</v>
      </c>
      <c r="C3">
        <v>38771</v>
      </c>
      <c r="D3">
        <v>82390</v>
      </c>
      <c r="E3">
        <v>126679</v>
      </c>
      <c r="G3" s="9">
        <v>45481</v>
      </c>
      <c r="H3">
        <v>402</v>
      </c>
      <c r="I3">
        <v>1045</v>
      </c>
      <c r="J3">
        <v>486</v>
      </c>
      <c r="K3">
        <v>10.9</v>
      </c>
      <c r="L3" s="5" t="s">
        <v>9</v>
      </c>
    </row>
    <row r="4" spans="1:15" x14ac:dyDescent="0.3">
      <c r="A4" s="1" t="s">
        <v>10</v>
      </c>
      <c r="B4">
        <v>93.257082369651201</v>
      </c>
      <c r="C4">
        <v>40.290735854906352</v>
      </c>
      <c r="D4">
        <v>165.44176706827309</v>
      </c>
      <c r="E4">
        <v>12064.66666666667</v>
      </c>
      <c r="G4" s="9">
        <v>45504</v>
      </c>
      <c r="H4">
        <v>414.5</v>
      </c>
      <c r="I4">
        <v>934</v>
      </c>
      <c r="J4">
        <v>456</v>
      </c>
      <c r="K4">
        <v>10.199999999999999</v>
      </c>
      <c r="L4" s="5" t="s">
        <v>44</v>
      </c>
    </row>
    <row r="5" spans="1:15" x14ac:dyDescent="0.3">
      <c r="A5" s="1" t="s">
        <v>11</v>
      </c>
      <c r="B5">
        <v>93</v>
      </c>
      <c r="C5">
        <v>42</v>
      </c>
      <c r="D5">
        <v>153</v>
      </c>
      <c r="E5">
        <v>11555</v>
      </c>
    </row>
    <row r="6" spans="1:15" x14ac:dyDescent="0.3">
      <c r="A6" s="1" t="s">
        <v>12</v>
      </c>
      <c r="B6">
        <v>0.25708236965120079</v>
      </c>
      <c r="C6">
        <v>-1.7092641450936481</v>
      </c>
      <c r="D6">
        <v>12.441767068273091</v>
      </c>
      <c r="E6">
        <v>509.66666666666612</v>
      </c>
      <c r="G6" s="3" t="s">
        <v>8</v>
      </c>
      <c r="H6" s="1" t="s">
        <v>1</v>
      </c>
      <c r="I6" s="1" t="s">
        <v>2</v>
      </c>
      <c r="J6" s="1" t="s">
        <v>3</v>
      </c>
      <c r="K6" s="1" t="s">
        <v>4</v>
      </c>
      <c r="L6" s="8" t="s">
        <v>25</v>
      </c>
      <c r="M6" s="1" t="s">
        <v>26</v>
      </c>
      <c r="N6" s="1" t="s">
        <v>14</v>
      </c>
      <c r="O6" s="1" t="s">
        <v>15</v>
      </c>
    </row>
    <row r="7" spans="1:15" x14ac:dyDescent="0.3">
      <c r="G7" s="9">
        <v>45471</v>
      </c>
      <c r="H7">
        <f>B5*H2</f>
        <v>36037.5</v>
      </c>
      <c r="I7">
        <f>C5*I2</f>
        <v>40572</v>
      </c>
      <c r="J7">
        <f>D5*J2</f>
        <v>76194</v>
      </c>
      <c r="K7">
        <f>E5*K2</f>
        <v>121327.5</v>
      </c>
      <c r="L7">
        <f>SUM(H7:K7)</f>
        <v>274131</v>
      </c>
      <c r="M7">
        <f>'20240607'!M9</f>
        <v>278633.34000000003</v>
      </c>
      <c r="N7">
        <f>'20240607'!N8</f>
        <v>215426</v>
      </c>
      <c r="O7">
        <f>(M7/N7 - 1) * 100</f>
        <v>29.340627408019483</v>
      </c>
    </row>
    <row r="8" spans="1:15" x14ac:dyDescent="0.3">
      <c r="A8" s="2" t="s">
        <v>16</v>
      </c>
      <c r="B8" s="1" t="s">
        <v>1</v>
      </c>
      <c r="C8" s="1" t="s">
        <v>2</v>
      </c>
      <c r="D8" s="1" t="s">
        <v>3</v>
      </c>
      <c r="E8" s="1" t="s">
        <v>4</v>
      </c>
      <c r="G8" s="9">
        <v>45481</v>
      </c>
      <c r="H8">
        <f>B11*H3</f>
        <v>37386</v>
      </c>
      <c r="I8">
        <f>C11*I3</f>
        <v>41800</v>
      </c>
      <c r="J8">
        <f>D11*J3</f>
        <v>80190</v>
      </c>
      <c r="K8">
        <f>E11*K3</f>
        <v>131508.5</v>
      </c>
      <c r="L8">
        <f>SUM(H8:K8)</f>
        <v>290884.5</v>
      </c>
      <c r="M8">
        <f>L8+H14-H16</f>
        <v>303282.84000000003</v>
      </c>
      <c r="N8">
        <f>ROUNDUP(N7+B13*H3+C13*I3+D13*J3+E13*K3, 0)+H15</f>
        <v>224742</v>
      </c>
      <c r="O8">
        <f>(M8/N8 - 1) * 100</f>
        <v>34.947112689216972</v>
      </c>
    </row>
    <row r="9" spans="1:15" x14ac:dyDescent="0.3">
      <c r="A9" s="1" t="s">
        <v>6</v>
      </c>
      <c r="B9">
        <f>B10/$L$8</f>
        <v>0.12852523939914295</v>
      </c>
      <c r="C9">
        <f>C10/$L$8</f>
        <v>0.14369964711079483</v>
      </c>
      <c r="D9">
        <f>D10/$L$8</f>
        <v>0.27567642827307748</v>
      </c>
      <c r="E9">
        <f>E10/$L$8</f>
        <v>0.45209868521698476</v>
      </c>
      <c r="G9" s="9">
        <v>45504</v>
      </c>
      <c r="H9">
        <f>B11*H4</f>
        <v>38548.5</v>
      </c>
      <c r="I9">
        <f>C11*I4</f>
        <v>37360</v>
      </c>
      <c r="J9">
        <f>D11*J4</f>
        <v>75240</v>
      </c>
      <c r="K9">
        <f>E11*K4</f>
        <v>123062.99999999999</v>
      </c>
      <c r="L9">
        <f>SUM(H9:K9)</f>
        <v>274211.5</v>
      </c>
      <c r="M9">
        <f>L9+H14-H16</f>
        <v>286609.84000000003</v>
      </c>
      <c r="N9">
        <f>N8</f>
        <v>224742</v>
      </c>
      <c r="O9">
        <f>(M9/N9 - 1) * 100</f>
        <v>27.528383657705291</v>
      </c>
    </row>
    <row r="10" spans="1:15" x14ac:dyDescent="0.3">
      <c r="A10" s="1" t="s">
        <v>8</v>
      </c>
      <c r="B10">
        <f>B11*H3</f>
        <v>37386</v>
      </c>
      <c r="C10">
        <f>C11*I3</f>
        <v>41800</v>
      </c>
      <c r="D10">
        <f>D11*J3</f>
        <v>80190</v>
      </c>
      <c r="E10">
        <f>E11*K3</f>
        <v>131508.5</v>
      </c>
    </row>
    <row r="11" spans="1:15" x14ac:dyDescent="0.3">
      <c r="A11" s="1" t="s">
        <v>10</v>
      </c>
      <c r="B11">
        <f>B12+B13</f>
        <v>93</v>
      </c>
      <c r="C11">
        <f>C12+C13</f>
        <v>40</v>
      </c>
      <c r="D11">
        <f>D12+D13</f>
        <v>165</v>
      </c>
      <c r="E11">
        <f>E12+E13</f>
        <v>12065</v>
      </c>
    </row>
    <row r="12" spans="1:15" x14ac:dyDescent="0.3">
      <c r="A12" s="1" t="s">
        <v>11</v>
      </c>
      <c r="B12">
        <f>B5</f>
        <v>93</v>
      </c>
      <c r="C12">
        <f>C5</f>
        <v>42</v>
      </c>
      <c r="D12">
        <f>D5</f>
        <v>153</v>
      </c>
      <c r="E12">
        <f>E5</f>
        <v>11555</v>
      </c>
      <c r="G12" s="6" t="s">
        <v>34</v>
      </c>
    </row>
    <row r="13" spans="1:15" x14ac:dyDescent="0.3">
      <c r="A13" s="1" t="s">
        <v>12</v>
      </c>
      <c r="B13">
        <f>ROUND(B6, 0)</f>
        <v>0</v>
      </c>
      <c r="C13">
        <f>ROUND(C6, 0)</f>
        <v>-2</v>
      </c>
      <c r="D13">
        <f>ROUND(D6, 0)</f>
        <v>12</v>
      </c>
      <c r="E13">
        <f>ROUND(E6, 0)</f>
        <v>510</v>
      </c>
      <c r="G13" t="s">
        <v>24</v>
      </c>
      <c r="H13">
        <f>2591+5313</f>
        <v>7904</v>
      </c>
    </row>
    <row r="14" spans="1:15" x14ac:dyDescent="0.3">
      <c r="A14" s="1" t="s">
        <v>17</v>
      </c>
      <c r="B14">
        <f>ROUND(B13*H3,0)</f>
        <v>0</v>
      </c>
      <c r="C14">
        <f>ROUND(C13*I3,0)</f>
        <v>-2090</v>
      </c>
      <c r="D14">
        <f>ROUND(D13*J3,0)</f>
        <v>5832</v>
      </c>
      <c r="E14">
        <f>ROUND(E13*K3,0)</f>
        <v>5559</v>
      </c>
      <c r="G14" t="s">
        <v>22</v>
      </c>
      <c r="H14">
        <f>'20240607'!H14+H13</f>
        <v>12830.34</v>
      </c>
    </row>
    <row r="15" spans="1:15" x14ac:dyDescent="0.3">
      <c r="G15" t="s">
        <v>30</v>
      </c>
      <c r="H15">
        <v>15</v>
      </c>
    </row>
    <row r="16" spans="1:15" x14ac:dyDescent="0.3">
      <c r="A16" s="4" t="s">
        <v>18</v>
      </c>
      <c r="B16">
        <v>1.85</v>
      </c>
      <c r="G16" t="s">
        <v>31</v>
      </c>
      <c r="H16">
        <f>'20240607'!H16+8</f>
        <v>432</v>
      </c>
    </row>
    <row r="17" spans="1:2" x14ac:dyDescent="0.3">
      <c r="A17" s="4" t="s">
        <v>19</v>
      </c>
      <c r="B17">
        <v>4.91</v>
      </c>
    </row>
    <row r="18" spans="1:2" x14ac:dyDescent="0.3">
      <c r="A18" s="4" t="s">
        <v>29</v>
      </c>
      <c r="B18">
        <v>-22029</v>
      </c>
    </row>
  </sheetData>
  <phoneticPr fontId="2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O18"/>
  <sheetViews>
    <sheetView workbookViewId="0"/>
  </sheetViews>
  <sheetFormatPr defaultRowHeight="15" x14ac:dyDescent="0.3"/>
  <cols>
    <col min="1" max="1" width="30.75" bestFit="1" customWidth="1"/>
    <col min="2" max="2" width="12.75" bestFit="1" customWidth="1"/>
    <col min="3" max="3" width="13.375" bestFit="1" customWidth="1"/>
    <col min="4" max="5" width="12.75" bestFit="1" customWidth="1"/>
    <col min="6" max="6" width="9" customWidth="1"/>
    <col min="7" max="7" width="17.25" bestFit="1" customWidth="1"/>
    <col min="8" max="11" width="9" customWidth="1"/>
    <col min="12" max="12" width="13.75" bestFit="1" customWidth="1"/>
    <col min="13" max="13" width="14.5" bestFit="1" customWidth="1"/>
    <col min="14" max="14" width="17.375" bestFit="1" customWidth="1"/>
    <col min="15" max="15" width="12.875" bestFit="1" customWidth="1"/>
  </cols>
  <sheetData>
    <row r="1" spans="1:15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3" t="s">
        <v>5</v>
      </c>
      <c r="H1" s="1" t="s">
        <v>1</v>
      </c>
      <c r="I1" s="1" t="s">
        <v>2</v>
      </c>
      <c r="J1" s="1" t="s">
        <v>3</v>
      </c>
      <c r="K1" s="1" t="s">
        <v>4</v>
      </c>
      <c r="L1" s="7"/>
    </row>
    <row r="2" spans="1:15" x14ac:dyDescent="0.3">
      <c r="A2" s="1" t="s">
        <v>6</v>
      </c>
      <c r="B2">
        <v>0.18286587038432101</v>
      </c>
      <c r="C2">
        <v>0.10895489284771299</v>
      </c>
      <c r="D2">
        <v>0.28131572242852942</v>
      </c>
      <c r="E2">
        <v>0.42686351433943659</v>
      </c>
      <c r="G2" s="9">
        <v>45504</v>
      </c>
      <c r="H2">
        <v>414.5</v>
      </c>
      <c r="I2">
        <v>934</v>
      </c>
      <c r="J2">
        <v>456</v>
      </c>
      <c r="K2">
        <v>10.199999999999999</v>
      </c>
      <c r="L2" s="2" t="s">
        <v>7</v>
      </c>
    </row>
    <row r="3" spans="1:15" x14ac:dyDescent="0.3">
      <c r="A3" s="1" t="s">
        <v>8</v>
      </c>
      <c r="B3">
        <v>51495</v>
      </c>
      <c r="C3">
        <v>30682</v>
      </c>
      <c r="D3">
        <v>79219</v>
      </c>
      <c r="E3">
        <v>120205</v>
      </c>
      <c r="G3" s="9">
        <v>45511</v>
      </c>
      <c r="H3">
        <v>384.5</v>
      </c>
      <c r="I3">
        <v>898</v>
      </c>
      <c r="J3">
        <v>462</v>
      </c>
      <c r="K3">
        <v>9.8000000000000007</v>
      </c>
      <c r="L3" s="5" t="s">
        <v>9</v>
      </c>
    </row>
    <row r="4" spans="1:15" x14ac:dyDescent="0.3">
      <c r="A4" s="1" t="s">
        <v>10</v>
      </c>
      <c r="B4">
        <v>124.23401688781669</v>
      </c>
      <c r="C4">
        <v>32.850107066381163</v>
      </c>
      <c r="D4">
        <v>179.96972308548351</v>
      </c>
      <c r="E4">
        <v>11784.803921568629</v>
      </c>
      <c r="G4" s="9">
        <v>45534</v>
      </c>
      <c r="H4">
        <v>399.5</v>
      </c>
      <c r="I4">
        <v>944</v>
      </c>
      <c r="J4">
        <v>537</v>
      </c>
      <c r="K4">
        <v>10.3</v>
      </c>
      <c r="L4" s="5" t="s">
        <v>44</v>
      </c>
    </row>
    <row r="5" spans="1:15" x14ac:dyDescent="0.3">
      <c r="A5" s="1" t="s">
        <v>11</v>
      </c>
      <c r="B5">
        <v>93</v>
      </c>
      <c r="C5">
        <v>40</v>
      </c>
      <c r="D5">
        <v>165</v>
      </c>
      <c r="E5">
        <v>12065</v>
      </c>
    </row>
    <row r="6" spans="1:15" x14ac:dyDescent="0.3">
      <c r="A6" s="1" t="s">
        <v>12</v>
      </c>
      <c r="B6">
        <v>31.234016887816651</v>
      </c>
      <c r="C6">
        <v>-7.1498929336188439</v>
      </c>
      <c r="D6">
        <v>14.96972308548351</v>
      </c>
      <c r="E6">
        <v>-280.19607843137243</v>
      </c>
      <c r="G6" s="3" t="s">
        <v>8</v>
      </c>
      <c r="H6" s="1" t="s">
        <v>1</v>
      </c>
      <c r="I6" s="1" t="s">
        <v>2</v>
      </c>
      <c r="J6" s="1" t="s">
        <v>3</v>
      </c>
      <c r="K6" s="1" t="s">
        <v>4</v>
      </c>
      <c r="L6" s="8" t="s">
        <v>25</v>
      </c>
      <c r="M6" s="1" t="s">
        <v>26</v>
      </c>
      <c r="N6" s="1" t="s">
        <v>14</v>
      </c>
      <c r="O6" s="1" t="s">
        <v>15</v>
      </c>
    </row>
    <row r="7" spans="1:15" x14ac:dyDescent="0.3">
      <c r="G7" s="9">
        <v>45471</v>
      </c>
      <c r="H7">
        <f>B5*H2</f>
        <v>38548.5</v>
      </c>
      <c r="I7">
        <f>C5*I2</f>
        <v>37360</v>
      </c>
      <c r="J7">
        <f>D5*J2</f>
        <v>75240</v>
      </c>
      <c r="K7">
        <f>E5*K2</f>
        <v>123062.99999999999</v>
      </c>
      <c r="L7">
        <f>SUM(H7:K7)</f>
        <v>274211.5</v>
      </c>
      <c r="M7">
        <f>'20240708'!M9</f>
        <v>286609.84000000003</v>
      </c>
      <c r="N7">
        <f>'20240708'!N8</f>
        <v>224742</v>
      </c>
      <c r="O7">
        <f>(M7/N7 - 1) * 100</f>
        <v>27.528383657705291</v>
      </c>
    </row>
    <row r="8" spans="1:15" x14ac:dyDescent="0.3">
      <c r="A8" s="2" t="s">
        <v>16</v>
      </c>
      <c r="B8" s="1" t="s">
        <v>1</v>
      </c>
      <c r="C8" s="1" t="s">
        <v>2</v>
      </c>
      <c r="D8" s="1" t="s">
        <v>3</v>
      </c>
      <c r="E8" s="1" t="s">
        <v>4</v>
      </c>
      <c r="G8" s="9">
        <v>45481</v>
      </c>
      <c r="H8">
        <f>B11*H3</f>
        <v>47678</v>
      </c>
      <c r="I8">
        <f>C11*I3</f>
        <v>29634</v>
      </c>
      <c r="J8">
        <f>D11*J3</f>
        <v>83160</v>
      </c>
      <c r="K8">
        <f>E11*K3</f>
        <v>115493.00000000001</v>
      </c>
      <c r="L8">
        <f>SUM(H8:K8)</f>
        <v>275965</v>
      </c>
      <c r="M8">
        <f>L8+H14-H16</f>
        <v>288326.34000000003</v>
      </c>
      <c r="N8">
        <f>ROUNDUP(N7+B13*H3+C13*I3+D13*J3+E13*K3, 0)+H15</f>
        <v>234587</v>
      </c>
      <c r="O8">
        <f>(M8/N8 - 1) * 100</f>
        <v>22.908063959213433</v>
      </c>
    </row>
    <row r="9" spans="1:15" x14ac:dyDescent="0.3">
      <c r="A9" s="1" t="s">
        <v>6</v>
      </c>
      <c r="B9">
        <f>B10/$L$8</f>
        <v>0.17276828583334844</v>
      </c>
      <c r="C9">
        <f>C10/$L$8</f>
        <v>0.10738318264997374</v>
      </c>
      <c r="D9">
        <f>D10/$L$8</f>
        <v>0.30134256155671912</v>
      </c>
      <c r="E9">
        <f>E10/$L$8</f>
        <v>0.41850596995995876</v>
      </c>
      <c r="G9" s="9">
        <v>45504</v>
      </c>
      <c r="H9">
        <f>B11*H4</f>
        <v>49538</v>
      </c>
      <c r="I9">
        <f>C11*I4</f>
        <v>31152</v>
      </c>
      <c r="J9">
        <f>D11*J4</f>
        <v>96660</v>
      </c>
      <c r="K9">
        <f>E11*K4</f>
        <v>121385.50000000001</v>
      </c>
      <c r="L9">
        <f>SUM(H9:K9)</f>
        <v>298735.5</v>
      </c>
      <c r="M9">
        <f>L9+H14-H16</f>
        <v>311096.84000000003</v>
      </c>
      <c r="N9">
        <f>N8</f>
        <v>234587</v>
      </c>
      <c r="O9">
        <f>(M9/N9 - 1) * 100</f>
        <v>32.614697319118299</v>
      </c>
    </row>
    <row r="10" spans="1:15" x14ac:dyDescent="0.3">
      <c r="A10" s="1" t="s">
        <v>8</v>
      </c>
      <c r="B10">
        <f>B11*H3</f>
        <v>47678</v>
      </c>
      <c r="C10">
        <f>C11*I3</f>
        <v>29634</v>
      </c>
      <c r="D10">
        <f>D11*J3</f>
        <v>83160</v>
      </c>
      <c r="E10">
        <f>E11*K3</f>
        <v>115493.00000000001</v>
      </c>
    </row>
    <row r="11" spans="1:15" x14ac:dyDescent="0.3">
      <c r="A11" s="1" t="s">
        <v>10</v>
      </c>
      <c r="B11">
        <f>B12+B13</f>
        <v>124</v>
      </c>
      <c r="C11">
        <f>C12+C13</f>
        <v>33</v>
      </c>
      <c r="D11">
        <f>D12+D13</f>
        <v>180</v>
      </c>
      <c r="E11">
        <f>E12+E13</f>
        <v>11785</v>
      </c>
    </row>
    <row r="12" spans="1:15" x14ac:dyDescent="0.3">
      <c r="A12" s="1" t="s">
        <v>11</v>
      </c>
      <c r="B12">
        <f>B5</f>
        <v>93</v>
      </c>
      <c r="C12">
        <f>C5</f>
        <v>40</v>
      </c>
      <c r="D12">
        <f>D5</f>
        <v>165</v>
      </c>
      <c r="E12">
        <f>E5</f>
        <v>12065</v>
      </c>
      <c r="G12" s="6" t="s">
        <v>27</v>
      </c>
    </row>
    <row r="13" spans="1:15" x14ac:dyDescent="0.3">
      <c r="A13" s="1" t="s">
        <v>12</v>
      </c>
      <c r="B13">
        <f>ROUND(B6, 0)</f>
        <v>31</v>
      </c>
      <c r="C13">
        <f>ROUND(C6, 0)</f>
        <v>-7</v>
      </c>
      <c r="D13">
        <f>ROUND(D6, 0)</f>
        <v>15</v>
      </c>
      <c r="E13">
        <f>ROUND(E6, 0)</f>
        <v>-280</v>
      </c>
      <c r="G13" t="s">
        <v>24</v>
      </c>
      <c r="H13">
        <v>0</v>
      </c>
    </row>
    <row r="14" spans="1:15" x14ac:dyDescent="0.3">
      <c r="A14" s="1" t="s">
        <v>17</v>
      </c>
      <c r="B14">
        <f>ROUND(B13*H3,0)</f>
        <v>11920</v>
      </c>
      <c r="C14">
        <f>ROUND(C13*I3,0)</f>
        <v>-6286</v>
      </c>
      <c r="D14">
        <f>ROUND(D13*J3,0)</f>
        <v>6930</v>
      </c>
      <c r="E14">
        <f>ROUND(E13*K3,0)</f>
        <v>-2744</v>
      </c>
      <c r="G14" t="s">
        <v>22</v>
      </c>
      <c r="H14">
        <f>'20240708'!H14+H13</f>
        <v>12830.34</v>
      </c>
    </row>
    <row r="15" spans="1:15" x14ac:dyDescent="0.3">
      <c r="G15" t="s">
        <v>30</v>
      </c>
      <c r="H15">
        <v>25</v>
      </c>
    </row>
    <row r="16" spans="1:15" x14ac:dyDescent="0.3">
      <c r="A16" s="4" t="s">
        <v>18</v>
      </c>
      <c r="B16">
        <v>1.8</v>
      </c>
      <c r="G16" t="s">
        <v>31</v>
      </c>
      <c r="H16">
        <f>'20240708'!H16+11+26</f>
        <v>469</v>
      </c>
    </row>
    <row r="17" spans="1:2" x14ac:dyDescent="0.3">
      <c r="A17" s="4" t="s">
        <v>19</v>
      </c>
      <c r="B17">
        <v>4.93</v>
      </c>
    </row>
    <row r="18" spans="1:2" x14ac:dyDescent="0.3">
      <c r="A18" s="4" t="s">
        <v>29</v>
      </c>
      <c r="B18">
        <v>-22168</v>
      </c>
    </row>
  </sheetData>
  <phoneticPr fontId="2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O18"/>
  <sheetViews>
    <sheetView workbookViewId="0"/>
  </sheetViews>
  <sheetFormatPr defaultRowHeight="15" x14ac:dyDescent="0.3"/>
  <cols>
    <col min="1" max="1" width="30.75" bestFit="1" customWidth="1"/>
    <col min="2" max="2" width="12.75" bestFit="1" customWidth="1"/>
    <col min="3" max="3" width="13.375" bestFit="1" customWidth="1"/>
    <col min="4" max="5" width="12.75" bestFit="1" customWidth="1"/>
    <col min="6" max="6" width="9" customWidth="1"/>
    <col min="7" max="7" width="17.25" bestFit="1" customWidth="1"/>
    <col min="8" max="11" width="9" customWidth="1"/>
    <col min="12" max="12" width="13.75" bestFit="1" customWidth="1"/>
    <col min="13" max="13" width="14.5" bestFit="1" customWidth="1"/>
    <col min="14" max="14" width="17.375" bestFit="1" customWidth="1"/>
    <col min="15" max="15" width="12.875" bestFit="1" customWidth="1"/>
  </cols>
  <sheetData>
    <row r="1" spans="1:15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3" t="s">
        <v>5</v>
      </c>
      <c r="H1" s="1" t="s">
        <v>1</v>
      </c>
      <c r="I1" s="1" t="s">
        <v>2</v>
      </c>
      <c r="J1" s="1" t="s">
        <v>3</v>
      </c>
      <c r="K1" s="1" t="s">
        <v>4</v>
      </c>
      <c r="L1" s="7"/>
    </row>
    <row r="2" spans="1:15" x14ac:dyDescent="0.3">
      <c r="A2" s="1" t="s">
        <v>6</v>
      </c>
      <c r="B2">
        <v>0.17511645160955289</v>
      </c>
      <c r="C2">
        <v>0.1003218683135681</v>
      </c>
      <c r="D2">
        <v>0.26270402032566847</v>
      </c>
      <c r="E2">
        <v>0.46185765975121051</v>
      </c>
      <c r="G2" s="9">
        <v>45534</v>
      </c>
      <c r="H2">
        <v>399.5</v>
      </c>
      <c r="I2">
        <v>944</v>
      </c>
      <c r="J2">
        <v>537</v>
      </c>
      <c r="K2">
        <v>10.3</v>
      </c>
      <c r="L2" s="2" t="s">
        <v>7</v>
      </c>
    </row>
    <row r="3" spans="1:15" x14ac:dyDescent="0.3">
      <c r="A3" s="1" t="s">
        <v>8</v>
      </c>
      <c r="B3">
        <v>54065</v>
      </c>
      <c r="C3">
        <v>30973</v>
      </c>
      <c r="D3">
        <v>81106</v>
      </c>
      <c r="E3">
        <v>142592</v>
      </c>
      <c r="G3" s="9">
        <v>45544</v>
      </c>
      <c r="H3">
        <v>366</v>
      </c>
      <c r="I3">
        <v>899</v>
      </c>
      <c r="J3">
        <v>527</v>
      </c>
      <c r="K3">
        <f>(10.1*686+10*858+10.1*515)/2059</f>
        <v>10.058329286061195</v>
      </c>
      <c r="L3" s="5" t="s">
        <v>9</v>
      </c>
    </row>
    <row r="4" spans="1:15" x14ac:dyDescent="0.3">
      <c r="A4" s="1" t="s">
        <v>10</v>
      </c>
      <c r="B4">
        <v>135.33166458072591</v>
      </c>
      <c r="C4">
        <v>32.810381355932201</v>
      </c>
      <c r="D4">
        <v>151.03538175046549</v>
      </c>
      <c r="E4">
        <v>13843.88349514563</v>
      </c>
      <c r="G4" s="9">
        <v>45565</v>
      </c>
      <c r="H4">
        <v>380.5</v>
      </c>
      <c r="I4">
        <v>957</v>
      </c>
      <c r="J4">
        <v>553</v>
      </c>
      <c r="K4">
        <v>10.050000000000001</v>
      </c>
      <c r="L4" s="5" t="s">
        <v>41</v>
      </c>
    </row>
    <row r="5" spans="1:15" x14ac:dyDescent="0.3">
      <c r="A5" s="1" t="s">
        <v>11</v>
      </c>
      <c r="B5">
        <v>124</v>
      </c>
      <c r="C5">
        <v>33</v>
      </c>
      <c r="D5">
        <v>180</v>
      </c>
      <c r="E5">
        <v>11785</v>
      </c>
    </row>
    <row r="6" spans="1:15" x14ac:dyDescent="0.3">
      <c r="A6" s="1" t="s">
        <v>12</v>
      </c>
      <c r="B6">
        <v>11.33166458072591</v>
      </c>
      <c r="C6">
        <v>-0.18961864406779941</v>
      </c>
      <c r="D6">
        <v>-28.96461824953445</v>
      </c>
      <c r="E6">
        <v>2058.8834951456301</v>
      </c>
      <c r="G6" s="3" t="s">
        <v>8</v>
      </c>
      <c r="H6" s="1" t="s">
        <v>1</v>
      </c>
      <c r="I6" s="1" t="s">
        <v>2</v>
      </c>
      <c r="J6" s="1" t="s">
        <v>3</v>
      </c>
      <c r="K6" s="1" t="s">
        <v>4</v>
      </c>
      <c r="L6" s="8" t="s">
        <v>25</v>
      </c>
      <c r="M6" s="1" t="s">
        <v>26</v>
      </c>
      <c r="N6" s="1" t="s">
        <v>14</v>
      </c>
      <c r="O6" s="1" t="s">
        <v>15</v>
      </c>
    </row>
    <row r="7" spans="1:15" x14ac:dyDescent="0.3">
      <c r="G7" s="9">
        <v>45534</v>
      </c>
      <c r="H7">
        <f>B5*H2</f>
        <v>49538</v>
      </c>
      <c r="I7">
        <f>C5*I2</f>
        <v>31152</v>
      </c>
      <c r="J7">
        <f>D5*J2</f>
        <v>96660</v>
      </c>
      <c r="K7">
        <f>E5*K2</f>
        <v>121385.50000000001</v>
      </c>
      <c r="L7">
        <f>SUM(H7:K7)</f>
        <v>298735.5</v>
      </c>
      <c r="M7">
        <f>'20240807'!M9</f>
        <v>311096.84000000003</v>
      </c>
      <c r="N7">
        <f>'20240807'!N8</f>
        <v>234587</v>
      </c>
      <c r="O7">
        <f>(M7/N7 - 1) * 100</f>
        <v>32.614697319118299</v>
      </c>
    </row>
    <row r="8" spans="1:15" x14ac:dyDescent="0.3">
      <c r="A8" s="2" t="s">
        <v>16</v>
      </c>
      <c r="B8" s="1" t="s">
        <v>1</v>
      </c>
      <c r="C8" s="1" t="s">
        <v>2</v>
      </c>
      <c r="D8" s="1" t="s">
        <v>3</v>
      </c>
      <c r="E8" s="1" t="s">
        <v>4</v>
      </c>
      <c r="G8" s="9">
        <v>45544</v>
      </c>
      <c r="H8">
        <f>B11*H3</f>
        <v>49410</v>
      </c>
      <c r="I8">
        <f>C11*I3</f>
        <v>29667</v>
      </c>
      <c r="J8">
        <f>D11*J3</f>
        <v>79577</v>
      </c>
      <c r="K8">
        <f>E11*K3</f>
        <v>139247.51063623119</v>
      </c>
      <c r="L8">
        <f>SUM(H8:K8)</f>
        <v>297901.51063623116</v>
      </c>
      <c r="M8">
        <f>L8+H14-H16</f>
        <v>310328.85063623119</v>
      </c>
      <c r="N8">
        <f>ROUNDUP(N7+B13*H3+C13*I3+D13*J3+E13*K3, 0)+H15</f>
        <v>244073</v>
      </c>
      <c r="O8">
        <f>(M8/N8 - 1) * 100</f>
        <v>27.145915622060279</v>
      </c>
    </row>
    <row r="9" spans="1:15" x14ac:dyDescent="0.3">
      <c r="A9" s="1" t="s">
        <v>6</v>
      </c>
      <c r="B9">
        <f>B10/$L$8</f>
        <v>0.16586018612149558</v>
      </c>
      <c r="C9">
        <f>C10/$L$8</f>
        <v>9.9586604769609594E-2</v>
      </c>
      <c r="D9">
        <f>D10/$L$8</f>
        <v>0.26712519795568213</v>
      </c>
      <c r="E9">
        <f>E10/$L$8</f>
        <v>0.46742801115321275</v>
      </c>
      <c r="G9" s="9">
        <v>45565</v>
      </c>
      <c r="H9">
        <f>B11*H4</f>
        <v>51367.5</v>
      </c>
      <c r="I9">
        <f>C11*I4</f>
        <v>31581</v>
      </c>
      <c r="J9">
        <f>D11*J4</f>
        <v>83503</v>
      </c>
      <c r="K9">
        <f>E11*K4</f>
        <v>139132.20000000001</v>
      </c>
      <c r="L9">
        <f>SUM(H9:K9)</f>
        <v>305583.7</v>
      </c>
      <c r="M9">
        <f>L9+H14-H16</f>
        <v>318011.04000000004</v>
      </c>
      <c r="N9">
        <f>N8</f>
        <v>244073</v>
      </c>
      <c r="O9">
        <f>(M9/N9 - 1) * 100</f>
        <v>30.293412216836792</v>
      </c>
    </row>
    <row r="10" spans="1:15" x14ac:dyDescent="0.3">
      <c r="A10" s="1" t="s">
        <v>8</v>
      </c>
      <c r="B10">
        <f>B11*H3</f>
        <v>49410</v>
      </c>
      <c r="C10">
        <f>C11*I3</f>
        <v>29667</v>
      </c>
      <c r="D10">
        <f>D11*J3</f>
        <v>79577</v>
      </c>
      <c r="E10">
        <f>E11*K3</f>
        <v>139247.51063623119</v>
      </c>
    </row>
    <row r="11" spans="1:15" x14ac:dyDescent="0.3">
      <c r="A11" s="1" t="s">
        <v>10</v>
      </c>
      <c r="B11">
        <f>B12+B13</f>
        <v>135</v>
      </c>
      <c r="C11">
        <f>C12+C13</f>
        <v>33</v>
      </c>
      <c r="D11">
        <f>D12+D13</f>
        <v>151</v>
      </c>
      <c r="E11">
        <f>E12+E13</f>
        <v>13844</v>
      </c>
    </row>
    <row r="12" spans="1:15" x14ac:dyDescent="0.3">
      <c r="A12" s="1" t="s">
        <v>11</v>
      </c>
      <c r="B12">
        <f>B5</f>
        <v>124</v>
      </c>
      <c r="C12">
        <f>C5</f>
        <v>33</v>
      </c>
      <c r="D12">
        <f>D5</f>
        <v>180</v>
      </c>
      <c r="E12">
        <f>E5</f>
        <v>11785</v>
      </c>
      <c r="G12" s="6" t="s">
        <v>35</v>
      </c>
    </row>
    <row r="13" spans="1:15" x14ac:dyDescent="0.3">
      <c r="A13" s="1" t="s">
        <v>12</v>
      </c>
      <c r="B13">
        <f>ROUND(B6, 0)</f>
        <v>11</v>
      </c>
      <c r="C13">
        <f>ROUND(C6, 0)</f>
        <v>0</v>
      </c>
      <c r="D13">
        <f>ROUND(D6, 0)</f>
        <v>-29</v>
      </c>
      <c r="E13">
        <f>ROUND(E6, 0)</f>
        <v>2059</v>
      </c>
      <c r="G13" t="s">
        <v>24</v>
      </c>
      <c r="H13">
        <f>4*C11</f>
        <v>132</v>
      </c>
    </row>
    <row r="14" spans="1:15" x14ac:dyDescent="0.3">
      <c r="A14" s="1" t="s">
        <v>17</v>
      </c>
      <c r="B14">
        <f>ROUND(B13*H3,0)</f>
        <v>4026</v>
      </c>
      <c r="C14">
        <f>ROUND(C13*I3,0)</f>
        <v>0</v>
      </c>
      <c r="D14">
        <f>ROUND(D13*J3,0)</f>
        <v>-15283</v>
      </c>
      <c r="E14">
        <f>ROUND(E13*K3,0)</f>
        <v>20710</v>
      </c>
      <c r="G14" t="s">
        <v>22</v>
      </c>
      <c r="H14">
        <f>'20240807'!H14+H13</f>
        <v>12962.34</v>
      </c>
    </row>
    <row r="15" spans="1:15" x14ac:dyDescent="0.3">
      <c r="G15" t="s">
        <v>30</v>
      </c>
      <c r="H15">
        <f>25+7</f>
        <v>32</v>
      </c>
    </row>
    <row r="16" spans="1:15" x14ac:dyDescent="0.3">
      <c r="A16" s="4" t="s">
        <v>18</v>
      </c>
      <c r="B16">
        <v>1.85</v>
      </c>
      <c r="G16" t="s">
        <v>31</v>
      </c>
      <c r="H16">
        <f>'20240807'!H16+21+45</f>
        <v>535</v>
      </c>
    </row>
    <row r="17" spans="1:2" x14ac:dyDescent="0.3">
      <c r="A17" s="4" t="s">
        <v>19</v>
      </c>
      <c r="B17">
        <v>4.9000000000000004</v>
      </c>
    </row>
    <row r="18" spans="1:2" x14ac:dyDescent="0.3">
      <c r="A18" s="4" t="s">
        <v>29</v>
      </c>
      <c r="B18">
        <v>-23941</v>
      </c>
    </row>
  </sheetData>
  <phoneticPr fontId="2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O18"/>
  <sheetViews>
    <sheetView workbookViewId="0"/>
  </sheetViews>
  <sheetFormatPr defaultRowHeight="15" x14ac:dyDescent="0.3"/>
  <cols>
    <col min="1" max="1" width="30.75" bestFit="1" customWidth="1"/>
    <col min="2" max="2" width="12.75" bestFit="1" customWidth="1"/>
    <col min="3" max="3" width="13.375" bestFit="1" customWidth="1"/>
    <col min="4" max="5" width="12.75" bestFit="1" customWidth="1"/>
    <col min="6" max="6" width="9" customWidth="1"/>
    <col min="7" max="7" width="17.25" bestFit="1" customWidth="1"/>
    <col min="8" max="11" width="9" customWidth="1"/>
    <col min="12" max="12" width="13.75" bestFit="1" customWidth="1"/>
    <col min="13" max="13" width="14.5" bestFit="1" customWidth="1"/>
    <col min="14" max="14" width="17.375" bestFit="1" customWidth="1"/>
    <col min="15" max="15" width="12.875" bestFit="1" customWidth="1"/>
  </cols>
  <sheetData>
    <row r="1" spans="1:15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3" t="s">
        <v>5</v>
      </c>
      <c r="H1" s="1" t="s">
        <v>1</v>
      </c>
      <c r="I1" s="1" t="s">
        <v>2</v>
      </c>
      <c r="J1" s="1" t="s">
        <v>3</v>
      </c>
      <c r="K1" s="1" t="s">
        <v>4</v>
      </c>
      <c r="L1" s="7"/>
    </row>
    <row r="2" spans="1:15" x14ac:dyDescent="0.3">
      <c r="A2" s="1" t="s">
        <v>6</v>
      </c>
      <c r="B2">
        <v>0.1642042381632785</v>
      </c>
      <c r="C2">
        <v>0.1211561329343257</v>
      </c>
      <c r="D2">
        <v>0.28080477332428161</v>
      </c>
      <c r="E2">
        <v>0.43383485557811408</v>
      </c>
      <c r="G2" s="9">
        <v>45565</v>
      </c>
      <c r="H2">
        <v>380.5</v>
      </c>
      <c r="I2">
        <v>957</v>
      </c>
      <c r="J2">
        <v>553</v>
      </c>
      <c r="K2">
        <v>10.050000000000001</v>
      </c>
      <c r="L2" s="2" t="s">
        <v>7</v>
      </c>
    </row>
    <row r="3" spans="1:15" x14ac:dyDescent="0.3">
      <c r="A3" s="1" t="s">
        <v>8</v>
      </c>
      <c r="B3">
        <v>51797</v>
      </c>
      <c r="C3">
        <v>38218</v>
      </c>
      <c r="D3">
        <v>88578</v>
      </c>
      <c r="E3">
        <v>136850</v>
      </c>
      <c r="G3" s="9">
        <v>45573</v>
      </c>
      <c r="H3">
        <v>372.5</v>
      </c>
      <c r="I3">
        <v>999</v>
      </c>
      <c r="J3">
        <v>575</v>
      </c>
      <c r="K3">
        <v>10.050000000000001</v>
      </c>
      <c r="L3" s="5" t="s">
        <v>9</v>
      </c>
    </row>
    <row r="4" spans="1:15" x14ac:dyDescent="0.3">
      <c r="A4" s="1" t="s">
        <v>10</v>
      </c>
      <c r="B4">
        <v>136.1287779237845</v>
      </c>
      <c r="C4">
        <v>40.113356074521121</v>
      </c>
      <c r="D4">
        <v>160.17721518987341</v>
      </c>
      <c r="E4">
        <v>13616.91542288557</v>
      </c>
      <c r="G4" s="9">
        <v>45595</v>
      </c>
      <c r="H4">
        <v>404</v>
      </c>
      <c r="I4">
        <v>1030</v>
      </c>
      <c r="J4">
        <v>575</v>
      </c>
      <c r="K4">
        <v>9.83</v>
      </c>
      <c r="L4" s="5" t="s">
        <v>41</v>
      </c>
    </row>
    <row r="5" spans="1:15" x14ac:dyDescent="0.3">
      <c r="A5" s="1" t="s">
        <v>11</v>
      </c>
      <c r="B5">
        <v>135</v>
      </c>
      <c r="C5">
        <v>33</v>
      </c>
      <c r="D5">
        <v>151</v>
      </c>
      <c r="E5">
        <v>13844</v>
      </c>
    </row>
    <row r="6" spans="1:15" x14ac:dyDescent="0.3">
      <c r="A6" s="1" t="s">
        <v>12</v>
      </c>
      <c r="B6">
        <v>1.128777923784497</v>
      </c>
      <c r="C6">
        <v>7.1133560745211213</v>
      </c>
      <c r="D6">
        <v>9.177215189873408</v>
      </c>
      <c r="E6">
        <v>-227.08457711442861</v>
      </c>
      <c r="G6" s="3" t="s">
        <v>8</v>
      </c>
      <c r="H6" s="1" t="s">
        <v>1</v>
      </c>
      <c r="I6" s="1" t="s">
        <v>2</v>
      </c>
      <c r="J6" s="1" t="s">
        <v>3</v>
      </c>
      <c r="K6" s="1" t="s">
        <v>4</v>
      </c>
      <c r="L6" s="8" t="s">
        <v>25</v>
      </c>
      <c r="M6" s="1" t="s">
        <v>26</v>
      </c>
      <c r="N6" s="1" t="s">
        <v>14</v>
      </c>
      <c r="O6" s="1" t="s">
        <v>15</v>
      </c>
    </row>
    <row r="7" spans="1:15" x14ac:dyDescent="0.3">
      <c r="G7" s="9">
        <v>45565</v>
      </c>
      <c r="H7">
        <f>B5*H2</f>
        <v>51367.5</v>
      </c>
      <c r="I7">
        <f>C5*I2</f>
        <v>31581</v>
      </c>
      <c r="J7">
        <f>D5*J2</f>
        <v>83503</v>
      </c>
      <c r="K7">
        <f>E5*K2</f>
        <v>139132.20000000001</v>
      </c>
      <c r="L7">
        <f>SUM(H7:K7)</f>
        <v>305583.7</v>
      </c>
      <c r="M7">
        <f>'20240909'!M9</f>
        <v>318011.04000000004</v>
      </c>
      <c r="N7">
        <f>'20240909'!N8</f>
        <v>244073</v>
      </c>
      <c r="O7">
        <f>(M7/N7 - 1) * 100</f>
        <v>30.293412216836792</v>
      </c>
    </row>
    <row r="8" spans="1:15" x14ac:dyDescent="0.3">
      <c r="A8" s="2" t="s">
        <v>16</v>
      </c>
      <c r="B8" s="1" t="s">
        <v>1</v>
      </c>
      <c r="C8" s="1" t="s">
        <v>2</v>
      </c>
      <c r="D8" s="1" t="s">
        <v>3</v>
      </c>
      <c r="E8" s="1" t="s">
        <v>4</v>
      </c>
      <c r="G8" s="9">
        <v>45573</v>
      </c>
      <c r="H8">
        <f>B11*H3</f>
        <v>50660</v>
      </c>
      <c r="I8">
        <f>C11*I3</f>
        <v>39960</v>
      </c>
      <c r="J8">
        <f>D11*J3</f>
        <v>92000</v>
      </c>
      <c r="K8">
        <f>E11*K3</f>
        <v>136850.85</v>
      </c>
      <c r="L8">
        <f>SUM(H8:K8)</f>
        <v>319470.84999999998</v>
      </c>
      <c r="M8">
        <f>L8+H14-H16</f>
        <v>331889.19</v>
      </c>
      <c r="N8">
        <f>ROUNDUP(N7+B13*H3+C13*I3+D13*J3+E13*K3, 0)+H15</f>
        <v>254350</v>
      </c>
      <c r="O8">
        <f>(M8/N8 - 1) * 100</f>
        <v>30.48523294672696</v>
      </c>
    </row>
    <row r="9" spans="1:15" x14ac:dyDescent="0.3">
      <c r="A9" s="1" t="s">
        <v>6</v>
      </c>
      <c r="B9">
        <f>B10/$L$8</f>
        <v>0.15857471816286214</v>
      </c>
      <c r="C9">
        <f>C10/$L$8</f>
        <v>0.12508183453983363</v>
      </c>
      <c r="D9">
        <f>D10/$L$8</f>
        <v>0.28797619563725457</v>
      </c>
      <c r="E9">
        <f>E10/$L$8</f>
        <v>0.4283672516600498</v>
      </c>
      <c r="G9" s="9">
        <v>45595</v>
      </c>
      <c r="H9">
        <f>B11*H4</f>
        <v>54944</v>
      </c>
      <c r="I9">
        <f>C11*I4</f>
        <v>41200</v>
      </c>
      <c r="J9">
        <f>D11*J4</f>
        <v>92000</v>
      </c>
      <c r="K9">
        <f>E11*K4</f>
        <v>133855.11000000002</v>
      </c>
      <c r="L9">
        <f>SUM(H9:K9)</f>
        <v>321999.11</v>
      </c>
      <c r="M9">
        <f>L9+H14-H16</f>
        <v>334417.45</v>
      </c>
      <c r="N9">
        <f>N8</f>
        <v>254350</v>
      </c>
      <c r="O9">
        <f>(M9/N9 - 1) * 100</f>
        <v>31.479241203066643</v>
      </c>
    </row>
    <row r="10" spans="1:15" x14ac:dyDescent="0.3">
      <c r="A10" s="1" t="s">
        <v>8</v>
      </c>
      <c r="B10">
        <f>B11*H3</f>
        <v>50660</v>
      </c>
      <c r="C10">
        <f>C11*I3</f>
        <v>39960</v>
      </c>
      <c r="D10">
        <f>D11*J3</f>
        <v>92000</v>
      </c>
      <c r="E10">
        <f>E11*K3</f>
        <v>136850.85</v>
      </c>
    </row>
    <row r="11" spans="1:15" x14ac:dyDescent="0.3">
      <c r="A11" s="1" t="s">
        <v>10</v>
      </c>
      <c r="B11">
        <f>B12+B13</f>
        <v>136</v>
      </c>
      <c r="C11">
        <f>C12+C13</f>
        <v>40</v>
      </c>
      <c r="D11">
        <f>D12+D13</f>
        <v>160</v>
      </c>
      <c r="E11">
        <f>E12+E13</f>
        <v>13617</v>
      </c>
    </row>
    <row r="12" spans="1:15" x14ac:dyDescent="0.3">
      <c r="A12" s="1" t="s">
        <v>11</v>
      </c>
      <c r="B12">
        <v>135</v>
      </c>
      <c r="C12">
        <v>33</v>
      </c>
      <c r="D12">
        <v>151</v>
      </c>
      <c r="E12">
        <v>13844</v>
      </c>
      <c r="G12" s="6" t="s">
        <v>27</v>
      </c>
    </row>
    <row r="13" spans="1:15" x14ac:dyDescent="0.3">
      <c r="A13" s="1" t="s">
        <v>12</v>
      </c>
      <c r="B13">
        <f>ROUND(B6, 0)</f>
        <v>1</v>
      </c>
      <c r="C13">
        <f>ROUND(C6, 0)</f>
        <v>7</v>
      </c>
      <c r="D13">
        <f>ROUND(D6, 0)</f>
        <v>9</v>
      </c>
      <c r="E13">
        <f>ROUND(E6, 0)</f>
        <v>-227</v>
      </c>
      <c r="G13" t="s">
        <v>24</v>
      </c>
    </row>
    <row r="14" spans="1:15" x14ac:dyDescent="0.3">
      <c r="A14" s="1" t="s">
        <v>17</v>
      </c>
      <c r="B14">
        <f>ROUND(B13*H3,0)</f>
        <v>373</v>
      </c>
      <c r="C14">
        <f>ROUND(C13*I3,0)</f>
        <v>6993</v>
      </c>
      <c r="D14">
        <f>ROUND(D13*J3,0)</f>
        <v>5175</v>
      </c>
      <c r="E14">
        <f>ROUND(E13*K3,0)</f>
        <v>-2281</v>
      </c>
      <c r="G14" t="s">
        <v>22</v>
      </c>
      <c r="H14">
        <f>'20240909'!H14+H13</f>
        <v>12962.34</v>
      </c>
    </row>
    <row r="15" spans="1:15" x14ac:dyDescent="0.3">
      <c r="G15" t="s">
        <v>30</v>
      </c>
      <c r="H15">
        <v>17</v>
      </c>
    </row>
    <row r="16" spans="1:15" x14ac:dyDescent="0.3">
      <c r="A16" s="4" t="s">
        <v>18</v>
      </c>
      <c r="B16">
        <v>1.85</v>
      </c>
      <c r="G16" t="s">
        <v>31</v>
      </c>
      <c r="H16">
        <f>'20240909'!H16+9</f>
        <v>544</v>
      </c>
    </row>
    <row r="17" spans="1:2" x14ac:dyDescent="0.3">
      <c r="A17" s="4" t="s">
        <v>19</v>
      </c>
      <c r="B17">
        <v>4.92</v>
      </c>
    </row>
    <row r="18" spans="1:2" x14ac:dyDescent="0.3">
      <c r="A18" s="4" t="s">
        <v>29</v>
      </c>
      <c r="B18">
        <v>-24572</v>
      </c>
    </row>
  </sheetData>
  <phoneticPr fontId="2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O18"/>
  <sheetViews>
    <sheetView workbookViewId="0"/>
  </sheetViews>
  <sheetFormatPr defaultRowHeight="15" x14ac:dyDescent="0.3"/>
  <cols>
    <col min="1" max="1" width="30.75" bestFit="1" customWidth="1"/>
    <col min="2" max="2" width="12.75" bestFit="1" customWidth="1"/>
    <col min="3" max="3" width="13.375" bestFit="1" customWidth="1"/>
    <col min="4" max="5" width="12.75" bestFit="1" customWidth="1"/>
    <col min="6" max="6" width="9" customWidth="1"/>
    <col min="7" max="7" width="17.25" bestFit="1" customWidth="1"/>
    <col min="8" max="11" width="9" customWidth="1"/>
    <col min="12" max="12" width="13.75" bestFit="1" customWidth="1"/>
    <col min="13" max="13" width="14.5" bestFit="1" customWidth="1"/>
    <col min="14" max="14" width="17.375" bestFit="1" customWidth="1"/>
    <col min="15" max="15" width="12.875" bestFit="1" customWidth="1"/>
  </cols>
  <sheetData>
    <row r="1" spans="1:15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3" t="s">
        <v>5</v>
      </c>
      <c r="H1" s="1" t="s">
        <v>1</v>
      </c>
      <c r="I1" s="1" t="s">
        <v>2</v>
      </c>
      <c r="J1" s="1" t="s">
        <v>3</v>
      </c>
      <c r="K1" s="1" t="s">
        <v>4</v>
      </c>
      <c r="L1" s="7"/>
    </row>
    <row r="2" spans="1:15" x14ac:dyDescent="0.3">
      <c r="A2" s="1" t="s">
        <v>6</v>
      </c>
      <c r="B2">
        <v>0.16942618082012351</v>
      </c>
      <c r="C2">
        <v>0.13220150438845729</v>
      </c>
      <c r="D2">
        <v>0.29073123014627111</v>
      </c>
      <c r="E2">
        <v>0.4076410846451482</v>
      </c>
      <c r="G2" s="9">
        <v>45595</v>
      </c>
      <c r="H2">
        <v>404</v>
      </c>
      <c r="I2">
        <v>1030</v>
      </c>
      <c r="J2">
        <v>575</v>
      </c>
      <c r="K2">
        <v>9.83</v>
      </c>
      <c r="L2" s="2" t="s">
        <v>7</v>
      </c>
    </row>
    <row r="3" spans="1:15" x14ac:dyDescent="0.3">
      <c r="A3" s="1" t="s">
        <v>8</v>
      </c>
      <c r="B3">
        <v>56249</v>
      </c>
      <c r="C3">
        <v>43891</v>
      </c>
      <c r="D3">
        <v>96523</v>
      </c>
      <c r="E3">
        <v>135336</v>
      </c>
      <c r="G3" s="9">
        <v>45603</v>
      </c>
      <c r="H3">
        <v>401.5</v>
      </c>
      <c r="I3">
        <v>1055</v>
      </c>
      <c r="J3">
        <v>606</v>
      </c>
      <c r="K3">
        <v>9.84</v>
      </c>
      <c r="L3" s="5" t="s">
        <v>9</v>
      </c>
    </row>
    <row r="4" spans="1:15" x14ac:dyDescent="0.3">
      <c r="A4" s="1" t="s">
        <v>10</v>
      </c>
      <c r="B4">
        <v>139.230198019802</v>
      </c>
      <c r="C4">
        <v>42.612621359223297</v>
      </c>
      <c r="D4">
        <v>167.86608695652171</v>
      </c>
      <c r="E4">
        <v>13767.6500508647</v>
      </c>
      <c r="G4" s="9">
        <v>45625</v>
      </c>
      <c r="H4">
        <v>381</v>
      </c>
      <c r="I4">
        <v>996</v>
      </c>
      <c r="J4">
        <v>588</v>
      </c>
      <c r="K4">
        <v>9.86</v>
      </c>
      <c r="L4" s="5" t="s">
        <v>44</v>
      </c>
    </row>
    <row r="5" spans="1:15" x14ac:dyDescent="0.3">
      <c r="A5" s="1" t="s">
        <v>11</v>
      </c>
      <c r="B5">
        <v>136</v>
      </c>
      <c r="C5">
        <v>40</v>
      </c>
      <c r="D5">
        <v>160</v>
      </c>
      <c r="E5">
        <v>13617</v>
      </c>
    </row>
    <row r="6" spans="1:15" x14ac:dyDescent="0.3">
      <c r="A6" s="1" t="s">
        <v>12</v>
      </c>
      <c r="B6">
        <v>3.2301980198019749</v>
      </c>
      <c r="C6">
        <v>2.6126213592233039</v>
      </c>
      <c r="D6">
        <v>7.8660869565217411</v>
      </c>
      <c r="E6">
        <v>150.65005086470049</v>
      </c>
      <c r="G6" s="3" t="s">
        <v>8</v>
      </c>
      <c r="H6" s="1" t="s">
        <v>1</v>
      </c>
      <c r="I6" s="1" t="s">
        <v>2</v>
      </c>
      <c r="J6" s="1" t="s">
        <v>3</v>
      </c>
      <c r="K6" s="1" t="s">
        <v>4</v>
      </c>
      <c r="L6" s="8" t="s">
        <v>25</v>
      </c>
      <c r="M6" s="1" t="s">
        <v>26</v>
      </c>
      <c r="N6" s="1" t="s">
        <v>14</v>
      </c>
      <c r="O6" s="1" t="s">
        <v>15</v>
      </c>
    </row>
    <row r="7" spans="1:15" x14ac:dyDescent="0.3">
      <c r="G7" s="9">
        <v>45595</v>
      </c>
      <c r="H7">
        <f>B5*H2</f>
        <v>54944</v>
      </c>
      <c r="I7">
        <f>C5*I2</f>
        <v>41200</v>
      </c>
      <c r="J7">
        <f>D5*J2</f>
        <v>92000</v>
      </c>
      <c r="K7">
        <f>E5*K2</f>
        <v>133855.11000000002</v>
      </c>
      <c r="L7">
        <f>SUM(H7:K7)</f>
        <v>321999.11</v>
      </c>
      <c r="M7">
        <f>'20241008'!M9</f>
        <v>334417.45</v>
      </c>
      <c r="N7">
        <f>'20241008'!N8</f>
        <v>254350</v>
      </c>
      <c r="O7">
        <f>(M7/N7 - 1) * 100</f>
        <v>31.479241203066643</v>
      </c>
    </row>
    <row r="8" spans="1:15" x14ac:dyDescent="0.3">
      <c r="A8" s="2" t="s">
        <v>16</v>
      </c>
      <c r="B8" s="1" t="s">
        <v>1</v>
      </c>
      <c r="C8" s="1" t="s">
        <v>2</v>
      </c>
      <c r="D8" s="1" t="s">
        <v>3</v>
      </c>
      <c r="E8" s="1" t="s">
        <v>4</v>
      </c>
      <c r="G8" s="9">
        <v>45603</v>
      </c>
      <c r="H8">
        <f>B11*H3</f>
        <v>55808.5</v>
      </c>
      <c r="I8">
        <f>C11*I3</f>
        <v>45365</v>
      </c>
      <c r="J8">
        <f>D11*J3</f>
        <v>101808</v>
      </c>
      <c r="K8">
        <f>E11*K3</f>
        <v>135477.12</v>
      </c>
      <c r="L8">
        <f>SUM(H8:K8)</f>
        <v>338458.62</v>
      </c>
      <c r="M8">
        <f>L8+H14-H16</f>
        <v>350876.96</v>
      </c>
      <c r="N8">
        <f>ROUNDUP(N7+B13*H3+C13*I3+D13*J3+E13*K3, 0)+H15</f>
        <v>265067</v>
      </c>
      <c r="O8">
        <f>(M8/N8 - 1) * 100</f>
        <v>32.372932126594421</v>
      </c>
    </row>
    <row r="9" spans="1:15" x14ac:dyDescent="0.3">
      <c r="A9" s="1" t="s">
        <v>6</v>
      </c>
      <c r="B9">
        <f>B10/$L$8</f>
        <v>0.16489017180298141</v>
      </c>
      <c r="C9">
        <f>C10/$L$8</f>
        <v>0.13403411028503279</v>
      </c>
      <c r="D9">
        <f>D10/$L$8</f>
        <v>0.30079895734373674</v>
      </c>
      <c r="E9">
        <f>E10/$L$8</f>
        <v>0.40027676056824907</v>
      </c>
      <c r="G9" s="9">
        <v>45625</v>
      </c>
      <c r="H9">
        <f>B11*H4</f>
        <v>52959</v>
      </c>
      <c r="I9">
        <f>C11*I4</f>
        <v>42828</v>
      </c>
      <c r="J9">
        <f>D11*J4</f>
        <v>98784</v>
      </c>
      <c r="K9">
        <f>E11*K4</f>
        <v>135752.47999999998</v>
      </c>
      <c r="L9">
        <f>SUM(H9:K9)</f>
        <v>330323.48</v>
      </c>
      <c r="M9">
        <f>L9+H14-H16</f>
        <v>342741.82</v>
      </c>
      <c r="N9">
        <f>N8</f>
        <v>265067</v>
      </c>
      <c r="O9">
        <f>(M9/N9 - 1) * 100</f>
        <v>29.303843933797879</v>
      </c>
    </row>
    <row r="10" spans="1:15" x14ac:dyDescent="0.3">
      <c r="A10" s="1" t="s">
        <v>8</v>
      </c>
      <c r="B10">
        <f>B11*H3</f>
        <v>55808.5</v>
      </c>
      <c r="C10">
        <f>C11*I3</f>
        <v>45365</v>
      </c>
      <c r="D10">
        <f>D11*J3</f>
        <v>101808</v>
      </c>
      <c r="E10">
        <f>E11*K3</f>
        <v>135477.12</v>
      </c>
    </row>
    <row r="11" spans="1:15" x14ac:dyDescent="0.3">
      <c r="A11" s="1" t="s">
        <v>10</v>
      </c>
      <c r="B11">
        <f>B12+B13</f>
        <v>139</v>
      </c>
      <c r="C11">
        <f>C12+C13</f>
        <v>43</v>
      </c>
      <c r="D11">
        <f>D12+D13</f>
        <v>168</v>
      </c>
      <c r="E11">
        <f>E12+E13</f>
        <v>13768</v>
      </c>
    </row>
    <row r="12" spans="1:15" x14ac:dyDescent="0.3">
      <c r="A12" s="1" t="s">
        <v>11</v>
      </c>
      <c r="B12">
        <v>136</v>
      </c>
      <c r="C12">
        <v>40</v>
      </c>
      <c r="D12">
        <v>160</v>
      </c>
      <c r="E12">
        <v>13617</v>
      </c>
      <c r="G12" s="6" t="s">
        <v>27</v>
      </c>
    </row>
    <row r="13" spans="1:15" x14ac:dyDescent="0.3">
      <c r="A13" s="1" t="s">
        <v>12</v>
      </c>
      <c r="B13">
        <f>ROUND(B6, 0)</f>
        <v>3</v>
      </c>
      <c r="C13">
        <f>ROUND(C6, 0)</f>
        <v>3</v>
      </c>
      <c r="D13">
        <f>ROUND(D6, 0)</f>
        <v>8</v>
      </c>
      <c r="E13">
        <f>ROUND(E6, 0)</f>
        <v>151</v>
      </c>
      <c r="G13" t="s">
        <v>24</v>
      </c>
    </row>
    <row r="14" spans="1:15" x14ac:dyDescent="0.3">
      <c r="A14" s="1" t="s">
        <v>17</v>
      </c>
      <c r="B14">
        <f>ROUND(B13*H3,0)</f>
        <v>1205</v>
      </c>
      <c r="C14">
        <f>ROUND(C13*I3,0)</f>
        <v>3165</v>
      </c>
      <c r="D14">
        <f>ROUND(D13*J3,0)</f>
        <v>4848</v>
      </c>
      <c r="E14">
        <f>ROUND(E13*K3,0)</f>
        <v>1486</v>
      </c>
      <c r="G14" t="s">
        <v>22</v>
      </c>
      <c r="H14">
        <f>'20241008'!H14+H13</f>
        <v>12962.34</v>
      </c>
    </row>
    <row r="15" spans="1:15" x14ac:dyDescent="0.3">
      <c r="G15" t="s">
        <v>30</v>
      </c>
      <c r="H15">
        <v>13</v>
      </c>
    </row>
    <row r="16" spans="1:15" x14ac:dyDescent="0.3">
      <c r="A16" s="4" t="s">
        <v>18</v>
      </c>
      <c r="B16">
        <v>1.9</v>
      </c>
      <c r="G16" t="s">
        <v>31</v>
      </c>
      <c r="H16">
        <f>'20241008'!H16</f>
        <v>544</v>
      </c>
    </row>
    <row r="17" spans="1:2" x14ac:dyDescent="0.3">
      <c r="A17" s="4" t="s">
        <v>19</v>
      </c>
      <c r="B17">
        <v>4.92</v>
      </c>
    </row>
    <row r="18" spans="1:2" x14ac:dyDescent="0.3">
      <c r="A18" s="4" t="s">
        <v>29</v>
      </c>
      <c r="B18">
        <v>-25729</v>
      </c>
    </row>
  </sheetData>
  <phoneticPr fontId="2" type="noConversion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O18"/>
  <sheetViews>
    <sheetView workbookViewId="0"/>
  </sheetViews>
  <sheetFormatPr defaultRowHeight="15" x14ac:dyDescent="0.3"/>
  <cols>
    <col min="1" max="1" width="30.75" bestFit="1" customWidth="1"/>
    <col min="2" max="2" width="12.75" bestFit="1" customWidth="1"/>
    <col min="3" max="3" width="13.375" bestFit="1" customWidth="1"/>
    <col min="4" max="5" width="12.75" bestFit="1" customWidth="1"/>
    <col min="6" max="6" width="9" customWidth="1"/>
    <col min="7" max="7" width="17.25" bestFit="1" customWidth="1"/>
    <col min="8" max="11" width="9" customWidth="1"/>
    <col min="12" max="12" width="13.75" bestFit="1" customWidth="1"/>
    <col min="13" max="13" width="14.5" bestFit="1" customWidth="1"/>
    <col min="14" max="14" width="17.375" bestFit="1" customWidth="1"/>
    <col min="15" max="15" width="12.875" bestFit="1" customWidth="1"/>
  </cols>
  <sheetData>
    <row r="1" spans="1:15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3" t="s">
        <v>5</v>
      </c>
      <c r="H1" s="1" t="s">
        <v>1</v>
      </c>
      <c r="I1" s="1" t="s">
        <v>2</v>
      </c>
      <c r="J1" s="1" t="s">
        <v>3</v>
      </c>
      <c r="K1" s="1" t="s">
        <v>4</v>
      </c>
      <c r="L1" s="7"/>
    </row>
    <row r="2" spans="1:15" x14ac:dyDescent="0.3">
      <c r="A2" s="1" t="s">
        <v>6</v>
      </c>
      <c r="B2">
        <v>0.16221609827204209</v>
      </c>
      <c r="C2">
        <v>0.14251700698839931</v>
      </c>
      <c r="D2">
        <v>0.30996209026933902</v>
      </c>
      <c r="E2">
        <v>0.38530480447021959</v>
      </c>
      <c r="G2" s="9">
        <v>45625</v>
      </c>
      <c r="H2">
        <v>381</v>
      </c>
      <c r="I2">
        <v>996</v>
      </c>
      <c r="J2">
        <v>588</v>
      </c>
      <c r="K2">
        <v>9.86</v>
      </c>
      <c r="L2" s="2" t="s">
        <v>7</v>
      </c>
    </row>
    <row r="3" spans="1:15" x14ac:dyDescent="0.3">
      <c r="A3" s="1" t="s">
        <v>8</v>
      </c>
      <c r="B3">
        <v>55206</v>
      </c>
      <c r="C3">
        <v>48502</v>
      </c>
      <c r="D3">
        <v>105487</v>
      </c>
      <c r="E3">
        <v>131128</v>
      </c>
      <c r="G3" s="9">
        <v>45635</v>
      </c>
      <c r="H3">
        <v>399</v>
      </c>
      <c r="I3">
        <v>1070</v>
      </c>
      <c r="J3">
        <v>604</v>
      </c>
      <c r="K3">
        <v>9.93</v>
      </c>
      <c r="L3" s="5" t="s">
        <v>9</v>
      </c>
    </row>
    <row r="4" spans="1:15" x14ac:dyDescent="0.3">
      <c r="A4" s="1" t="s">
        <v>10</v>
      </c>
      <c r="B4">
        <v>144.89763779527561</v>
      </c>
      <c r="C4">
        <v>48.696787148594368</v>
      </c>
      <c r="D4">
        <v>179.3996598639456</v>
      </c>
      <c r="E4">
        <v>13298.985801217041</v>
      </c>
      <c r="G4" s="9">
        <v>45657</v>
      </c>
      <c r="H4">
        <v>430.5</v>
      </c>
      <c r="I4">
        <v>1075</v>
      </c>
      <c r="J4">
        <v>616</v>
      </c>
      <c r="K4">
        <v>9.89</v>
      </c>
      <c r="L4" s="5" t="s">
        <v>44</v>
      </c>
    </row>
    <row r="5" spans="1:15" x14ac:dyDescent="0.3">
      <c r="A5" s="1" t="s">
        <v>11</v>
      </c>
      <c r="B5">
        <v>139</v>
      </c>
      <c r="C5">
        <v>43</v>
      </c>
      <c r="D5">
        <v>168</v>
      </c>
      <c r="E5">
        <v>13768</v>
      </c>
    </row>
    <row r="6" spans="1:15" x14ac:dyDescent="0.3">
      <c r="A6" s="1" t="s">
        <v>12</v>
      </c>
      <c r="B6">
        <v>5.8976377952755854</v>
      </c>
      <c r="C6">
        <v>5.6967871485943746</v>
      </c>
      <c r="D6">
        <v>11.399659863945571</v>
      </c>
      <c r="E6">
        <v>-469.0141987829611</v>
      </c>
      <c r="G6" s="3" t="s">
        <v>8</v>
      </c>
      <c r="H6" s="1" t="s">
        <v>1</v>
      </c>
      <c r="I6" s="1" t="s">
        <v>2</v>
      </c>
      <c r="J6" s="1" t="s">
        <v>3</v>
      </c>
      <c r="K6" s="1" t="s">
        <v>4</v>
      </c>
      <c r="L6" s="8" t="s">
        <v>25</v>
      </c>
      <c r="M6" s="1" t="s">
        <v>26</v>
      </c>
      <c r="N6" s="1" t="s">
        <v>14</v>
      </c>
      <c r="O6" s="1" t="s">
        <v>15</v>
      </c>
    </row>
    <row r="7" spans="1:15" x14ac:dyDescent="0.3">
      <c r="G7" s="9">
        <v>45625</v>
      </c>
      <c r="H7">
        <f>B5*H2</f>
        <v>52959</v>
      </c>
      <c r="I7">
        <f>C5*I2</f>
        <v>42828</v>
      </c>
      <c r="J7">
        <f>D5*J2</f>
        <v>98784</v>
      </c>
      <c r="K7">
        <f>E5*K2</f>
        <v>135752.47999999998</v>
      </c>
      <c r="L7">
        <f>SUM(H7:K7)</f>
        <v>330323.48</v>
      </c>
      <c r="M7">
        <f>'20241107'!M9</f>
        <v>342741.82</v>
      </c>
      <c r="N7">
        <f>'20241107'!N8</f>
        <v>265067</v>
      </c>
      <c r="O7">
        <f>(M7/N7 - 1) * 100</f>
        <v>29.303843933797879</v>
      </c>
    </row>
    <row r="8" spans="1:15" x14ac:dyDescent="0.3">
      <c r="A8" s="2" t="s">
        <v>16</v>
      </c>
      <c r="B8" s="1" t="s">
        <v>1</v>
      </c>
      <c r="C8" s="1" t="s">
        <v>2</v>
      </c>
      <c r="D8" s="1" t="s">
        <v>3</v>
      </c>
      <c r="E8" s="1" t="s">
        <v>4</v>
      </c>
      <c r="G8" s="9">
        <v>45635</v>
      </c>
      <c r="H8">
        <f>B11*H3</f>
        <v>57855</v>
      </c>
      <c r="I8">
        <f>C11*I3</f>
        <v>52430</v>
      </c>
      <c r="J8">
        <f>D11*J3</f>
        <v>108116</v>
      </c>
      <c r="K8">
        <f>E11*K3</f>
        <v>132059.07</v>
      </c>
      <c r="L8">
        <f>SUM(H8:K8)</f>
        <v>350460.07</v>
      </c>
      <c r="M8">
        <f>L8+H14-H16</f>
        <v>363055.41000000003</v>
      </c>
      <c r="N8">
        <f>ROUNDUP(N7+B13*H3+C13*I3+D13*J3+E13*K3, 0)+H15</f>
        <v>275889</v>
      </c>
      <c r="O8">
        <f>(M8/N8 - 1) * 100</f>
        <v>31.594739188586729</v>
      </c>
    </row>
    <row r="9" spans="1:15" x14ac:dyDescent="0.3">
      <c r="A9" s="1" t="s">
        <v>6</v>
      </c>
      <c r="B9">
        <f>B10/$L$8</f>
        <v>0.16508300075383767</v>
      </c>
      <c r="C9">
        <f>C10/$L$8</f>
        <v>0.14960334853554072</v>
      </c>
      <c r="D9">
        <f>D10/$L$8</f>
        <v>0.3084973417941736</v>
      </c>
      <c r="E9">
        <f>E10/$L$8</f>
        <v>0.37681630891644802</v>
      </c>
      <c r="G9" s="9">
        <v>45657</v>
      </c>
      <c r="H9">
        <f>B11*H4</f>
        <v>62422.5</v>
      </c>
      <c r="I9">
        <f>C11*I4</f>
        <v>52675</v>
      </c>
      <c r="J9">
        <f>D11*J4</f>
        <v>110264</v>
      </c>
      <c r="K9">
        <f>E11*K4</f>
        <v>131527.11000000002</v>
      </c>
      <c r="L9">
        <f>SUM(H9:K9)</f>
        <v>356888.61</v>
      </c>
      <c r="M9">
        <f>L9+H14-H16</f>
        <v>369483.95</v>
      </c>
      <c r="N9">
        <f>N8</f>
        <v>275889</v>
      </c>
      <c r="O9">
        <f>(M9/N9 - 1) * 100</f>
        <v>33.924857460790392</v>
      </c>
    </row>
    <row r="10" spans="1:15" x14ac:dyDescent="0.3">
      <c r="A10" s="1" t="s">
        <v>8</v>
      </c>
      <c r="B10">
        <f>B11*H3</f>
        <v>57855</v>
      </c>
      <c r="C10">
        <f>C11*I3</f>
        <v>52430</v>
      </c>
      <c r="D10">
        <f>D11*J3</f>
        <v>108116</v>
      </c>
      <c r="E10">
        <f>E11*K3</f>
        <v>132059.07</v>
      </c>
    </row>
    <row r="11" spans="1:15" x14ac:dyDescent="0.3">
      <c r="A11" s="1" t="s">
        <v>10</v>
      </c>
      <c r="B11">
        <f>B12+B13</f>
        <v>145</v>
      </c>
      <c r="C11">
        <f>C12+C13</f>
        <v>49</v>
      </c>
      <c r="D11">
        <f>D12+D13</f>
        <v>179</v>
      </c>
      <c r="E11">
        <f>E12+E13</f>
        <v>13299</v>
      </c>
    </row>
    <row r="12" spans="1:15" x14ac:dyDescent="0.3">
      <c r="A12" s="1" t="s">
        <v>11</v>
      </c>
      <c r="B12">
        <v>139</v>
      </c>
      <c r="C12">
        <v>43</v>
      </c>
      <c r="D12">
        <v>168</v>
      </c>
      <c r="E12">
        <v>13768</v>
      </c>
      <c r="G12" s="6" t="s">
        <v>36</v>
      </c>
    </row>
    <row r="13" spans="1:15" x14ac:dyDescent="0.3">
      <c r="A13" s="1" t="s">
        <v>12</v>
      </c>
      <c r="B13">
        <f>ROUND(B6, 0)</f>
        <v>6</v>
      </c>
      <c r="C13">
        <f>ROUND(C6, 0)</f>
        <v>6</v>
      </c>
      <c r="D13">
        <f>ROUND(D6, 0)</f>
        <v>11</v>
      </c>
      <c r="E13">
        <f>ROUND(E6, 0)</f>
        <v>-469</v>
      </c>
      <c r="G13" t="s">
        <v>24</v>
      </c>
      <c r="H13">
        <f>4*C11</f>
        <v>196</v>
      </c>
    </row>
    <row r="14" spans="1:15" x14ac:dyDescent="0.3">
      <c r="A14" s="1" t="s">
        <v>17</v>
      </c>
      <c r="B14">
        <f>ROUND(B13*H3,0)</f>
        <v>2394</v>
      </c>
      <c r="C14">
        <f>ROUND(C13*I3,0)</f>
        <v>6420</v>
      </c>
      <c r="D14">
        <f>ROUND(D13*J3,0)</f>
        <v>6644</v>
      </c>
      <c r="E14">
        <f>ROUND(E13*K3,0)</f>
        <v>-4657</v>
      </c>
      <c r="G14" t="s">
        <v>22</v>
      </c>
      <c r="H14">
        <f>'20241107'!H14+H13</f>
        <v>13158.34</v>
      </c>
    </row>
    <row r="15" spans="1:15" x14ac:dyDescent="0.3">
      <c r="G15" t="s">
        <v>30</v>
      </c>
      <c r="H15">
        <v>21</v>
      </c>
    </row>
    <row r="16" spans="1:15" x14ac:dyDescent="0.3">
      <c r="A16" s="4" t="s">
        <v>18</v>
      </c>
      <c r="B16">
        <v>1.9</v>
      </c>
      <c r="G16" t="s">
        <v>31</v>
      </c>
      <c r="H16">
        <f>'20241107'!H16+19</f>
        <v>563</v>
      </c>
    </row>
    <row r="17" spans="1:2" x14ac:dyDescent="0.3">
      <c r="A17" s="4" t="s">
        <v>19</v>
      </c>
      <c r="B17">
        <v>4.9400000000000004</v>
      </c>
    </row>
    <row r="18" spans="1:2" x14ac:dyDescent="0.3">
      <c r="A18" s="4" t="s">
        <v>29</v>
      </c>
      <c r="B18">
        <v>-26498</v>
      </c>
    </row>
  </sheetData>
  <phoneticPr fontId="2" type="noConversion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O18"/>
  <sheetViews>
    <sheetView workbookViewId="0"/>
  </sheetViews>
  <sheetFormatPr defaultRowHeight="15" x14ac:dyDescent="0.3"/>
  <cols>
    <col min="1" max="1" width="30.75" bestFit="1" customWidth="1"/>
    <col min="2" max="2" width="12.75" bestFit="1" customWidth="1"/>
    <col min="3" max="3" width="13.375" bestFit="1" customWidth="1"/>
    <col min="4" max="5" width="12.75" bestFit="1" customWidth="1"/>
    <col min="6" max="6" width="9" customWidth="1"/>
    <col min="7" max="7" width="17.25" bestFit="1" customWidth="1"/>
    <col min="8" max="11" width="9" customWidth="1"/>
    <col min="12" max="12" width="13.75" bestFit="1" customWidth="1"/>
    <col min="13" max="13" width="14.5" bestFit="1" customWidth="1"/>
    <col min="14" max="14" width="17.375" bestFit="1" customWidth="1"/>
    <col min="15" max="15" width="12.875" bestFit="1" customWidth="1"/>
  </cols>
  <sheetData>
    <row r="1" spans="1:15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3" t="s">
        <v>5</v>
      </c>
      <c r="H1" s="1" t="s">
        <v>1</v>
      </c>
      <c r="I1" s="1" t="s">
        <v>2</v>
      </c>
      <c r="J1" s="1" t="s">
        <v>3</v>
      </c>
      <c r="K1" s="1" t="s">
        <v>4</v>
      </c>
      <c r="L1" s="7"/>
    </row>
    <row r="2" spans="1:15" x14ac:dyDescent="0.3">
      <c r="A2" s="1" t="s">
        <v>6</v>
      </c>
      <c r="B2">
        <v>0.16997445420716101</v>
      </c>
      <c r="C2">
        <v>0.13860275994333951</v>
      </c>
      <c r="D2">
        <v>0.30802372902604469</v>
      </c>
      <c r="E2">
        <v>0.38339905682345499</v>
      </c>
      <c r="G2" s="9">
        <v>45657</v>
      </c>
      <c r="H2">
        <v>430.5</v>
      </c>
      <c r="I2">
        <v>1075</v>
      </c>
      <c r="J2">
        <v>616</v>
      </c>
      <c r="K2">
        <v>9.89</v>
      </c>
      <c r="L2" s="2" t="s">
        <v>7</v>
      </c>
    </row>
    <row r="3" spans="1:15" x14ac:dyDescent="0.3">
      <c r="A3" s="1" t="s">
        <v>8</v>
      </c>
      <c r="B3">
        <v>62362</v>
      </c>
      <c r="C3">
        <v>50852</v>
      </c>
      <c r="D3">
        <v>113010</v>
      </c>
      <c r="E3">
        <v>140665</v>
      </c>
      <c r="G3" s="9">
        <v>45663</v>
      </c>
      <c r="H3">
        <v>418.5</v>
      </c>
      <c r="I3">
        <v>1100</v>
      </c>
      <c r="J3">
        <v>623</v>
      </c>
      <c r="K3">
        <v>9.8699999999999992</v>
      </c>
      <c r="L3" s="5" t="s">
        <v>9</v>
      </c>
    </row>
    <row r="4" spans="1:15" x14ac:dyDescent="0.3">
      <c r="A4" s="1" t="s">
        <v>10</v>
      </c>
      <c r="B4">
        <v>144.85946573751451</v>
      </c>
      <c r="C4">
        <v>47.304186046511617</v>
      </c>
      <c r="D4">
        <v>183.45779220779221</v>
      </c>
      <c r="E4">
        <v>14222.95247724975</v>
      </c>
      <c r="G4" s="9">
        <v>45691</v>
      </c>
      <c r="H4">
        <v>399</v>
      </c>
      <c r="I4">
        <v>1070</v>
      </c>
      <c r="J4">
        <v>649</v>
      </c>
      <c r="K4">
        <v>9.9499999999999993</v>
      </c>
      <c r="L4" s="5" t="s">
        <v>43</v>
      </c>
    </row>
    <row r="5" spans="1:15" x14ac:dyDescent="0.3">
      <c r="A5" s="1" t="s">
        <v>11</v>
      </c>
      <c r="B5">
        <v>145</v>
      </c>
      <c r="C5">
        <v>49</v>
      </c>
      <c r="D5">
        <v>179</v>
      </c>
      <c r="E5">
        <v>13299</v>
      </c>
    </row>
    <row r="6" spans="1:15" x14ac:dyDescent="0.3">
      <c r="A6" s="1" t="s">
        <v>12</v>
      </c>
      <c r="B6">
        <v>-0.1405342624854882</v>
      </c>
      <c r="C6">
        <v>-1.695813953488376</v>
      </c>
      <c r="D6">
        <v>4.4577922077922096</v>
      </c>
      <c r="E6">
        <v>923.95247724974615</v>
      </c>
      <c r="G6" s="3" t="s">
        <v>8</v>
      </c>
      <c r="H6" s="1" t="s">
        <v>1</v>
      </c>
      <c r="I6" s="1" t="s">
        <v>2</v>
      </c>
      <c r="J6" s="1" t="s">
        <v>3</v>
      </c>
      <c r="K6" s="1" t="s">
        <v>4</v>
      </c>
      <c r="L6" s="8" t="s">
        <v>25</v>
      </c>
      <c r="M6" s="1" t="s">
        <v>26</v>
      </c>
      <c r="N6" s="1" t="s">
        <v>14</v>
      </c>
      <c r="O6" s="1" t="s">
        <v>15</v>
      </c>
    </row>
    <row r="7" spans="1:15" x14ac:dyDescent="0.3">
      <c r="G7" s="9">
        <v>45657</v>
      </c>
      <c r="H7">
        <f>B5*H2</f>
        <v>62422.5</v>
      </c>
      <c r="I7">
        <f>C5*I2</f>
        <v>52675</v>
      </c>
      <c r="J7">
        <f>D5*J2</f>
        <v>110264</v>
      </c>
      <c r="K7">
        <f>E5*K2</f>
        <v>131527.11000000002</v>
      </c>
      <c r="L7">
        <f>SUM(H7:K7)</f>
        <v>356888.61</v>
      </c>
      <c r="M7">
        <f>'20241209'!M9</f>
        <v>369483.95</v>
      </c>
      <c r="N7">
        <f>'20241209'!N8</f>
        <v>275889</v>
      </c>
      <c r="O7">
        <f>(M7/N7 - 1) * 100</f>
        <v>33.924857460790392</v>
      </c>
    </row>
    <row r="8" spans="1:15" x14ac:dyDescent="0.3">
      <c r="A8" s="2" t="s">
        <v>16</v>
      </c>
      <c r="B8" s="1" t="s">
        <v>1</v>
      </c>
      <c r="C8" s="1" t="s">
        <v>2</v>
      </c>
      <c r="D8" s="1" t="s">
        <v>3</v>
      </c>
      <c r="E8" s="1" t="s">
        <v>4</v>
      </c>
      <c r="G8" s="9">
        <v>45663</v>
      </c>
      <c r="H8">
        <f>B11*H3</f>
        <v>60682.5</v>
      </c>
      <c r="I8">
        <f>C11*I3</f>
        <v>51700</v>
      </c>
      <c r="J8">
        <f>D11*J3</f>
        <v>114009</v>
      </c>
      <c r="K8">
        <f>E11*K3</f>
        <v>140381.00999999998</v>
      </c>
      <c r="L8">
        <f>SUM(H8:K8)</f>
        <v>366772.51</v>
      </c>
      <c r="M8">
        <f>L8+H14-H16</f>
        <v>379358.85000000003</v>
      </c>
      <c r="N8">
        <f>ROUNDUP(N7+B13*H3+C13*I3+D13*J3+E13*K3, 0)+H15</f>
        <v>285316</v>
      </c>
      <c r="O8">
        <f>(M8/N8 - 1) * 100</f>
        <v>32.960945057410051</v>
      </c>
    </row>
    <row r="9" spans="1:15" x14ac:dyDescent="0.3">
      <c r="A9" s="1" t="s">
        <v>6</v>
      </c>
      <c r="B9">
        <f>B10/$L$8</f>
        <v>0.1654499678833618</v>
      </c>
      <c r="C9">
        <f>C10/$L$8</f>
        <v>0.14095931017294616</v>
      </c>
      <c r="D9">
        <f>D10/$L$8</f>
        <v>0.31084390703109127</v>
      </c>
      <c r="E9">
        <f>E10/$L$8</f>
        <v>0.38274681491260065</v>
      </c>
      <c r="G9" s="9">
        <v>45691</v>
      </c>
      <c r="H9">
        <f>B11*H4</f>
        <v>57855</v>
      </c>
      <c r="I9">
        <f>C11*I4</f>
        <v>50290</v>
      </c>
      <c r="J9">
        <f>D11*J4</f>
        <v>118767</v>
      </c>
      <c r="K9">
        <f>E11*K4</f>
        <v>141518.84999999998</v>
      </c>
      <c r="L9">
        <f>SUM(H9:K9)</f>
        <v>368430.85</v>
      </c>
      <c r="M9">
        <f>L9+H14-H16</f>
        <v>381017.19</v>
      </c>
      <c r="N9">
        <f>N8</f>
        <v>285316</v>
      </c>
      <c r="O9">
        <f>(M9/N9 - 1) * 100</f>
        <v>33.542174290961604</v>
      </c>
    </row>
    <row r="10" spans="1:15" x14ac:dyDescent="0.3">
      <c r="A10" s="1" t="s">
        <v>8</v>
      </c>
      <c r="B10">
        <f>B11*H3</f>
        <v>60682.5</v>
      </c>
      <c r="C10">
        <f>C11*I3</f>
        <v>51700</v>
      </c>
      <c r="D10">
        <f>D11*J3</f>
        <v>114009</v>
      </c>
      <c r="E10">
        <f>E11*K3</f>
        <v>140381.00999999998</v>
      </c>
    </row>
    <row r="11" spans="1:15" x14ac:dyDescent="0.3">
      <c r="A11" s="1" t="s">
        <v>10</v>
      </c>
      <c r="B11">
        <f>B12+B13</f>
        <v>145</v>
      </c>
      <c r="C11">
        <f>C12+C13</f>
        <v>47</v>
      </c>
      <c r="D11">
        <f>D12+D13</f>
        <v>183</v>
      </c>
      <c r="E11">
        <f>E12+E13</f>
        <v>14223</v>
      </c>
    </row>
    <row r="12" spans="1:15" x14ac:dyDescent="0.3">
      <c r="A12" s="1" t="s">
        <v>11</v>
      </c>
      <c r="B12">
        <v>145</v>
      </c>
      <c r="C12">
        <v>49</v>
      </c>
      <c r="D12">
        <v>179</v>
      </c>
      <c r="E12">
        <v>13299</v>
      </c>
      <c r="G12" s="6" t="s">
        <v>27</v>
      </c>
    </row>
    <row r="13" spans="1:15" x14ac:dyDescent="0.3">
      <c r="A13" s="1" t="s">
        <v>12</v>
      </c>
      <c r="B13">
        <f>ROUND(B6, 0)</f>
        <v>0</v>
      </c>
      <c r="C13">
        <f>ROUND(C6, 0)</f>
        <v>-2</v>
      </c>
      <c r="D13">
        <f>ROUND(D6, 0)</f>
        <v>4</v>
      </c>
      <c r="E13">
        <f>ROUND(E6, 0)</f>
        <v>924</v>
      </c>
      <c r="G13" t="s">
        <v>24</v>
      </c>
    </row>
    <row r="14" spans="1:15" x14ac:dyDescent="0.3">
      <c r="A14" s="1" t="s">
        <v>17</v>
      </c>
      <c r="B14">
        <f>ROUND(B13*H3,0)</f>
        <v>0</v>
      </c>
      <c r="C14">
        <f>ROUND(C13*I3,0)</f>
        <v>-2200</v>
      </c>
      <c r="D14">
        <f>ROUND(D13*J3,0)</f>
        <v>2492</v>
      </c>
      <c r="E14">
        <f>ROUND(E13*K3,0)</f>
        <v>9120</v>
      </c>
      <c r="G14" t="s">
        <v>22</v>
      </c>
      <c r="H14">
        <f>'20241209'!H14+H13</f>
        <v>13158.34</v>
      </c>
    </row>
    <row r="15" spans="1:15" x14ac:dyDescent="0.3">
      <c r="G15" t="s">
        <v>30</v>
      </c>
      <c r="H15">
        <v>15</v>
      </c>
    </row>
    <row r="16" spans="1:15" x14ac:dyDescent="0.3">
      <c r="A16" s="4" t="s">
        <v>18</v>
      </c>
      <c r="B16">
        <v>1.95</v>
      </c>
      <c r="G16" t="s">
        <v>31</v>
      </c>
      <c r="H16">
        <f>'20241209'!H16+9</f>
        <v>572</v>
      </c>
    </row>
    <row r="17" spans="1:2" x14ac:dyDescent="0.3">
      <c r="A17" s="4" t="s">
        <v>19</v>
      </c>
      <c r="B17">
        <v>4.92</v>
      </c>
    </row>
    <row r="18" spans="1:2" x14ac:dyDescent="0.3">
      <c r="A18" s="4" t="s">
        <v>29</v>
      </c>
      <c r="B18">
        <v>-28210</v>
      </c>
    </row>
  </sheetData>
  <phoneticPr fontId="2" type="noConversion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O18"/>
  <sheetViews>
    <sheetView workbookViewId="0"/>
  </sheetViews>
  <sheetFormatPr defaultRowHeight="15" x14ac:dyDescent="0.3"/>
  <cols>
    <col min="1" max="1" width="30.75" bestFit="1" customWidth="1"/>
    <col min="2" max="2" width="12.75" bestFit="1" customWidth="1"/>
    <col min="3" max="3" width="13.375" bestFit="1" customWidth="1"/>
    <col min="4" max="5" width="12.75" bestFit="1" customWidth="1"/>
    <col min="6" max="6" width="9" customWidth="1"/>
    <col min="7" max="7" width="17.25" bestFit="1" customWidth="1"/>
    <col min="8" max="11" width="9" customWidth="1"/>
    <col min="12" max="12" width="13.75" bestFit="1" customWidth="1"/>
    <col min="13" max="13" width="14.5" bestFit="1" customWidth="1"/>
    <col min="14" max="14" width="17.375" bestFit="1" customWidth="1"/>
    <col min="15" max="15" width="12.875" bestFit="1" customWidth="1"/>
  </cols>
  <sheetData>
    <row r="1" spans="1:15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3" t="s">
        <v>5</v>
      </c>
      <c r="H1" s="1" t="s">
        <v>1</v>
      </c>
      <c r="I1" s="1" t="s">
        <v>2</v>
      </c>
      <c r="J1" s="1" t="s">
        <v>3</v>
      </c>
      <c r="K1" s="1" t="s">
        <v>4</v>
      </c>
      <c r="L1" s="7"/>
    </row>
    <row r="2" spans="1:15" x14ac:dyDescent="0.3">
      <c r="A2" s="1" t="s">
        <v>6</v>
      </c>
      <c r="B2">
        <v>0.14998524559546311</v>
      </c>
      <c r="C2">
        <v>0.153379365520662</v>
      </c>
      <c r="D2">
        <v>0.32134519861717259</v>
      </c>
      <c r="E2">
        <v>0.37529019026670241</v>
      </c>
      <c r="G2" s="9">
        <v>45691</v>
      </c>
      <c r="H2">
        <v>399</v>
      </c>
      <c r="I2">
        <v>1070</v>
      </c>
      <c r="J2">
        <v>649</v>
      </c>
      <c r="K2">
        <v>9.9499999999999993</v>
      </c>
      <c r="L2" s="2" t="s">
        <v>7</v>
      </c>
    </row>
    <row r="3" spans="1:15" x14ac:dyDescent="0.3">
      <c r="A3" s="1" t="s">
        <v>8</v>
      </c>
      <c r="B3">
        <v>56759</v>
      </c>
      <c r="C3">
        <v>58043</v>
      </c>
      <c r="D3">
        <v>121607</v>
      </c>
      <c r="E3">
        <v>142021</v>
      </c>
      <c r="G3" s="9">
        <v>45695</v>
      </c>
      <c r="H3">
        <v>413</v>
      </c>
      <c r="I3">
        <v>1110</v>
      </c>
      <c r="J3">
        <v>651</v>
      </c>
      <c r="K3">
        <v>9.93</v>
      </c>
      <c r="L3" s="5" t="s">
        <v>9</v>
      </c>
    </row>
    <row r="4" spans="1:15" x14ac:dyDescent="0.3">
      <c r="A4" s="1" t="s">
        <v>10</v>
      </c>
      <c r="B4">
        <v>142.25313283208021</v>
      </c>
      <c r="C4">
        <v>54.245794392523358</v>
      </c>
      <c r="D4">
        <v>187.37596302003081</v>
      </c>
      <c r="E4">
        <v>14273.467336683419</v>
      </c>
      <c r="G4" s="9">
        <v>45715</v>
      </c>
      <c r="H4">
        <v>402</v>
      </c>
      <c r="I4">
        <v>1040</v>
      </c>
      <c r="J4">
        <v>682</v>
      </c>
      <c r="K4">
        <v>9.9600000000000009</v>
      </c>
      <c r="L4" s="5" t="s">
        <v>41</v>
      </c>
    </row>
    <row r="5" spans="1:15" x14ac:dyDescent="0.3">
      <c r="A5" s="1" t="s">
        <v>11</v>
      </c>
      <c r="B5">
        <v>145</v>
      </c>
      <c r="C5">
        <v>47</v>
      </c>
      <c r="D5">
        <v>183</v>
      </c>
      <c r="E5">
        <v>14223</v>
      </c>
    </row>
    <row r="6" spans="1:15" x14ac:dyDescent="0.3">
      <c r="A6" s="1" t="s">
        <v>12</v>
      </c>
      <c r="B6">
        <v>-2.7468671679197878</v>
      </c>
      <c r="C6">
        <v>7.245794392523365</v>
      </c>
      <c r="D6">
        <v>4.3759630200308104</v>
      </c>
      <c r="E6">
        <v>50.46733668341767</v>
      </c>
      <c r="G6" s="3" t="s">
        <v>8</v>
      </c>
      <c r="H6" s="1" t="s">
        <v>1</v>
      </c>
      <c r="I6" s="1" t="s">
        <v>2</v>
      </c>
      <c r="J6" s="1" t="s">
        <v>3</v>
      </c>
      <c r="K6" s="1" t="s">
        <v>4</v>
      </c>
      <c r="L6" s="8" t="s">
        <v>25</v>
      </c>
      <c r="M6" s="1" t="s">
        <v>26</v>
      </c>
      <c r="N6" s="1" t="s">
        <v>14</v>
      </c>
      <c r="O6" s="1" t="s">
        <v>15</v>
      </c>
    </row>
    <row r="7" spans="1:15" x14ac:dyDescent="0.3">
      <c r="G7" s="9">
        <v>45691</v>
      </c>
      <c r="H7">
        <f>B5*H2</f>
        <v>57855</v>
      </c>
      <c r="I7">
        <f>C5*I2</f>
        <v>50290</v>
      </c>
      <c r="J7">
        <f>D5*J2</f>
        <v>118767</v>
      </c>
      <c r="K7">
        <f>E5*K2</f>
        <v>141518.84999999998</v>
      </c>
      <c r="L7">
        <f>SUM(H7:K7)</f>
        <v>368430.85</v>
      </c>
      <c r="M7">
        <f>'20250106'!M9</f>
        <v>381017.19</v>
      </c>
      <c r="N7">
        <f>'20250106'!N8</f>
        <v>285316</v>
      </c>
      <c r="O7">
        <f>(M7/N7 - 1) * 100</f>
        <v>33.542174290961604</v>
      </c>
    </row>
    <row r="8" spans="1:15" x14ac:dyDescent="0.3">
      <c r="A8" s="2" t="s">
        <v>16</v>
      </c>
      <c r="B8" s="1" t="s">
        <v>1</v>
      </c>
      <c r="C8" s="1" t="s">
        <v>2</v>
      </c>
      <c r="D8" s="1" t="s">
        <v>3</v>
      </c>
      <c r="E8" s="1" t="s">
        <v>4</v>
      </c>
      <c r="G8" s="9">
        <v>45695</v>
      </c>
      <c r="H8">
        <f>B11*H3</f>
        <v>58646</v>
      </c>
      <c r="I8">
        <f>C11*I3</f>
        <v>59940</v>
      </c>
      <c r="J8">
        <f>D11*J3</f>
        <v>121737</v>
      </c>
      <c r="K8">
        <f>E11*K3</f>
        <v>141730.88999999998</v>
      </c>
      <c r="L8">
        <f>SUM(H8:K8)</f>
        <v>382053.89</v>
      </c>
      <c r="M8">
        <f>L8+H14-H16</f>
        <v>394636.23000000004</v>
      </c>
      <c r="N8">
        <f>ROUNDUP(N7+B13*H3+C13*I3+D13*J3+E13*K3, 0)+H15</f>
        <v>294963</v>
      </c>
      <c r="O8">
        <f>(M8/N8 - 1) * 100</f>
        <v>33.79177388350405</v>
      </c>
    </row>
    <row r="9" spans="1:15" x14ac:dyDescent="0.3">
      <c r="A9" s="1" t="s">
        <v>6</v>
      </c>
      <c r="B9">
        <f>B10/$L$8</f>
        <v>0.15350190518934384</v>
      </c>
      <c r="C9">
        <f>C10/$L$8</f>
        <v>0.15688886193515789</v>
      </c>
      <c r="D9">
        <f>D10/$L$8</f>
        <v>0.31863829471805666</v>
      </c>
      <c r="E9">
        <f>E10/$L$8</f>
        <v>0.37097093815744153</v>
      </c>
      <c r="G9" s="9">
        <v>45715</v>
      </c>
      <c r="H9">
        <f>B11*H4</f>
        <v>57084</v>
      </c>
      <c r="I9">
        <f>C11*I4</f>
        <v>56160</v>
      </c>
      <c r="J9">
        <f>D11*J4</f>
        <v>127534</v>
      </c>
      <c r="K9">
        <f>E11*K4</f>
        <v>142159.08000000002</v>
      </c>
      <c r="L9">
        <f>SUM(H9:K9)</f>
        <v>382937.08</v>
      </c>
      <c r="M9">
        <f>L9+H14-H16</f>
        <v>395519.42000000004</v>
      </c>
      <c r="N9">
        <f>N8</f>
        <v>294963</v>
      </c>
      <c r="O9">
        <f>(M9/N9 - 1) * 100</f>
        <v>34.091197879056033</v>
      </c>
    </row>
    <row r="10" spans="1:15" x14ac:dyDescent="0.3">
      <c r="A10" s="1" t="s">
        <v>8</v>
      </c>
      <c r="B10">
        <f>B11*H3</f>
        <v>58646</v>
      </c>
      <c r="C10">
        <f>C11*I3</f>
        <v>59940</v>
      </c>
      <c r="D10">
        <f>D11*J3</f>
        <v>121737</v>
      </c>
      <c r="E10">
        <f>E11*K3</f>
        <v>141730.88999999998</v>
      </c>
    </row>
    <row r="11" spans="1:15" x14ac:dyDescent="0.3">
      <c r="A11" s="1" t="s">
        <v>10</v>
      </c>
      <c r="B11">
        <f>B12+B13</f>
        <v>142</v>
      </c>
      <c r="C11">
        <f>C12+C13</f>
        <v>54</v>
      </c>
      <c r="D11">
        <f>D12+D13</f>
        <v>187</v>
      </c>
      <c r="E11">
        <f>E12+E13</f>
        <v>14273</v>
      </c>
    </row>
    <row r="12" spans="1:15" x14ac:dyDescent="0.3">
      <c r="A12" s="1" t="s">
        <v>11</v>
      </c>
      <c r="B12">
        <v>145</v>
      </c>
      <c r="C12">
        <v>47</v>
      </c>
      <c r="D12">
        <v>183</v>
      </c>
      <c r="E12">
        <v>14223</v>
      </c>
      <c r="G12" s="6" t="s">
        <v>27</v>
      </c>
    </row>
    <row r="13" spans="1:15" x14ac:dyDescent="0.3">
      <c r="A13" s="1" t="s">
        <v>12</v>
      </c>
      <c r="B13">
        <f>ROUND(B6, 0)</f>
        <v>-3</v>
      </c>
      <c r="C13">
        <f>ROUND(C6, 0)</f>
        <v>7</v>
      </c>
      <c r="D13">
        <f>ROUND(D6, 0)</f>
        <v>4</v>
      </c>
      <c r="E13">
        <f>ROUND(E6, 0)</f>
        <v>50</v>
      </c>
      <c r="G13" t="s">
        <v>24</v>
      </c>
    </row>
    <row r="14" spans="1:15" x14ac:dyDescent="0.3">
      <c r="A14" s="1" t="s">
        <v>17</v>
      </c>
      <c r="B14">
        <f>ROUND(B13*H3,0)</f>
        <v>-1239</v>
      </c>
      <c r="C14">
        <f>ROUND(C13*I3,0)</f>
        <v>7770</v>
      </c>
      <c r="D14">
        <f>ROUND(D13*J3,0)</f>
        <v>2604</v>
      </c>
      <c r="E14">
        <f>ROUND(E13*K3,0)</f>
        <v>497</v>
      </c>
      <c r="G14" t="s">
        <v>22</v>
      </c>
      <c r="H14">
        <f>'20250106'!H14+H13</f>
        <v>13158.34</v>
      </c>
    </row>
    <row r="15" spans="1:15" x14ac:dyDescent="0.3">
      <c r="G15" t="s">
        <v>30</v>
      </c>
      <c r="H15">
        <v>15</v>
      </c>
    </row>
    <row r="16" spans="1:15" x14ac:dyDescent="0.3">
      <c r="A16" s="4" t="s">
        <v>18</v>
      </c>
      <c r="B16">
        <v>1.95</v>
      </c>
      <c r="G16" t="s">
        <v>31</v>
      </c>
      <c r="H16">
        <f>'20250106'!H16+4</f>
        <v>576</v>
      </c>
    </row>
    <row r="17" spans="1:2" x14ac:dyDescent="0.3">
      <c r="A17" s="4" t="s">
        <v>19</v>
      </c>
      <c r="B17">
        <v>4.91</v>
      </c>
    </row>
    <row r="18" spans="1:2" x14ac:dyDescent="0.3">
      <c r="A18" s="4" t="s">
        <v>29</v>
      </c>
      <c r="B18">
        <v>-29012</v>
      </c>
    </row>
  </sheetData>
  <phoneticPr fontId="2" type="noConversion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O18"/>
  <sheetViews>
    <sheetView workbookViewId="0"/>
  </sheetViews>
  <sheetFormatPr defaultRowHeight="15" x14ac:dyDescent="0.3"/>
  <cols>
    <col min="1" max="1" width="30.75" bestFit="1" customWidth="1"/>
    <col min="2" max="2" width="12.75" bestFit="1" customWidth="1"/>
    <col min="3" max="3" width="13.375" bestFit="1" customWidth="1"/>
    <col min="4" max="5" width="12.75" bestFit="1" customWidth="1"/>
    <col min="6" max="6" width="9" customWidth="1"/>
    <col min="7" max="7" width="17.25" bestFit="1" customWidth="1"/>
    <col min="8" max="11" width="9" customWidth="1"/>
    <col min="12" max="12" width="13.75" bestFit="1" customWidth="1"/>
    <col min="13" max="13" width="14.5" bestFit="1" customWidth="1"/>
    <col min="14" max="14" width="17.375" bestFit="1" customWidth="1"/>
    <col min="15" max="15" width="12.875" bestFit="1" customWidth="1"/>
  </cols>
  <sheetData>
    <row r="1" spans="1:15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3" t="s">
        <v>5</v>
      </c>
      <c r="H1" s="1" t="s">
        <v>1</v>
      </c>
      <c r="I1" s="1" t="s">
        <v>2</v>
      </c>
      <c r="J1" s="1" t="s">
        <v>3</v>
      </c>
      <c r="K1" s="1" t="s">
        <v>4</v>
      </c>
      <c r="L1" s="7"/>
    </row>
    <row r="2" spans="1:15" x14ac:dyDescent="0.3">
      <c r="A2" s="1" t="s">
        <v>6</v>
      </c>
      <c r="B2">
        <v>0.1572126638082508</v>
      </c>
      <c r="C2">
        <v>0.14284761292175649</v>
      </c>
      <c r="D2">
        <v>0.32988613809194128</v>
      </c>
      <c r="E2">
        <v>0.37005358517805131</v>
      </c>
      <c r="G2" s="9">
        <v>45715</v>
      </c>
      <c r="H2">
        <v>402</v>
      </c>
      <c r="I2">
        <v>1040</v>
      </c>
      <c r="J2">
        <v>682</v>
      </c>
      <c r="K2">
        <v>9.9600000000000009</v>
      </c>
      <c r="L2" s="2" t="s">
        <v>7</v>
      </c>
    </row>
    <row r="3" spans="1:15" x14ac:dyDescent="0.3">
      <c r="A3" s="1" t="s">
        <v>8</v>
      </c>
      <c r="B3">
        <v>61775</v>
      </c>
      <c r="C3">
        <v>56130</v>
      </c>
      <c r="D3">
        <v>129624</v>
      </c>
      <c r="E3">
        <v>145408</v>
      </c>
      <c r="G3" s="9">
        <v>45723</v>
      </c>
      <c r="H3">
        <v>382</v>
      </c>
      <c r="I3">
        <v>1005</v>
      </c>
      <c r="J3">
        <v>672</v>
      </c>
      <c r="K3">
        <v>10</v>
      </c>
      <c r="L3" s="5" t="s">
        <v>9</v>
      </c>
    </row>
    <row r="4" spans="1:15" x14ac:dyDescent="0.3">
      <c r="A4" s="1" t="s">
        <v>10</v>
      </c>
      <c r="B4">
        <v>153.66915422885569</v>
      </c>
      <c r="C4">
        <v>53.971153846153847</v>
      </c>
      <c r="D4">
        <v>190.06451612903231</v>
      </c>
      <c r="E4">
        <v>14599.19678714859</v>
      </c>
      <c r="G4" s="9">
        <v>45747</v>
      </c>
      <c r="H4">
        <v>360</v>
      </c>
      <c r="I4">
        <v>910</v>
      </c>
      <c r="J4">
        <v>609</v>
      </c>
      <c r="K4">
        <v>9.85</v>
      </c>
      <c r="L4" s="5" t="s">
        <v>42</v>
      </c>
    </row>
    <row r="5" spans="1:15" x14ac:dyDescent="0.3">
      <c r="A5" s="1" t="s">
        <v>11</v>
      </c>
      <c r="B5">
        <v>142</v>
      </c>
      <c r="C5">
        <v>54</v>
      </c>
      <c r="D5">
        <v>187</v>
      </c>
      <c r="E5">
        <v>14273</v>
      </c>
    </row>
    <row r="6" spans="1:15" x14ac:dyDescent="0.3">
      <c r="A6" s="1" t="s">
        <v>12</v>
      </c>
      <c r="B6">
        <v>11.669154228855721</v>
      </c>
      <c r="C6">
        <v>-2.88461538461533E-2</v>
      </c>
      <c r="D6">
        <v>3.0645161290322558</v>
      </c>
      <c r="E6">
        <v>326.19678714859401</v>
      </c>
      <c r="G6" s="3" t="s">
        <v>8</v>
      </c>
      <c r="H6" s="1" t="s">
        <v>1</v>
      </c>
      <c r="I6" s="1" t="s">
        <v>2</v>
      </c>
      <c r="J6" s="1" t="s">
        <v>3</v>
      </c>
      <c r="K6" s="1" t="s">
        <v>4</v>
      </c>
      <c r="L6" s="8" t="s">
        <v>25</v>
      </c>
      <c r="M6" s="1" t="s">
        <v>26</v>
      </c>
      <c r="N6" s="1" t="s">
        <v>14</v>
      </c>
      <c r="O6" s="1" t="s">
        <v>15</v>
      </c>
    </row>
    <row r="7" spans="1:15" x14ac:dyDescent="0.3">
      <c r="G7" s="9">
        <v>45715</v>
      </c>
      <c r="H7">
        <f>B5*H2</f>
        <v>57084</v>
      </c>
      <c r="I7">
        <f>C5*I2</f>
        <v>56160</v>
      </c>
      <c r="J7">
        <f>D5*J2</f>
        <v>127534</v>
      </c>
      <c r="K7">
        <f>E5*K2</f>
        <v>142159.08000000002</v>
      </c>
      <c r="L7">
        <f>SUM(H7:K7)</f>
        <v>382937.08</v>
      </c>
      <c r="M7">
        <f>'20250207'!M9</f>
        <v>395519.42000000004</v>
      </c>
      <c r="N7">
        <f>'20250207'!N8</f>
        <v>294963</v>
      </c>
      <c r="O7">
        <f>(M7/N7 - 1) * 100</f>
        <v>34.091197879056033</v>
      </c>
    </row>
    <row r="8" spans="1:15" x14ac:dyDescent="0.3">
      <c r="A8" s="2" t="s">
        <v>16</v>
      </c>
      <c r="B8" s="1" t="s">
        <v>1</v>
      </c>
      <c r="C8" s="1" t="s">
        <v>2</v>
      </c>
      <c r="D8" s="1" t="s">
        <v>3</v>
      </c>
      <c r="E8" s="1" t="s">
        <v>4</v>
      </c>
      <c r="G8" s="9">
        <v>45723</v>
      </c>
      <c r="H8">
        <f>B11*H3</f>
        <v>58828</v>
      </c>
      <c r="I8">
        <f>C11*I3</f>
        <v>54270</v>
      </c>
      <c r="J8">
        <f>D11*J3</f>
        <v>127680</v>
      </c>
      <c r="K8">
        <f>E11*K3</f>
        <v>145990</v>
      </c>
      <c r="L8">
        <f>SUM(H8:K8)</f>
        <v>386768</v>
      </c>
      <c r="M8">
        <f>L8+H14-H16</f>
        <v>399593.34</v>
      </c>
      <c r="N8">
        <f>ROUNDUP(N7+B13*H3+C13*I3+D13*J3+E13*K3, 0)+H15</f>
        <v>304835</v>
      </c>
      <c r="O8">
        <f>(M8/N8 - 1) * 100</f>
        <v>31.085124739613246</v>
      </c>
    </row>
    <row r="9" spans="1:15" x14ac:dyDescent="0.3">
      <c r="A9" s="1" t="s">
        <v>6</v>
      </c>
      <c r="B9">
        <f>B10/$L$8</f>
        <v>0.15210151822281057</v>
      </c>
      <c r="C9">
        <f>C10/$L$8</f>
        <v>0.14031667562983494</v>
      </c>
      <c r="D9">
        <f>D10/$L$8</f>
        <v>0.33012038224465312</v>
      </c>
      <c r="E9">
        <f>E10/$L$8</f>
        <v>0.37746142390270138</v>
      </c>
      <c r="G9" s="9">
        <v>45747</v>
      </c>
      <c r="H9">
        <f>B11*H4</f>
        <v>55440</v>
      </c>
      <c r="I9">
        <f>C11*I4</f>
        <v>49140</v>
      </c>
      <c r="J9">
        <f>D11*J4</f>
        <v>115710</v>
      </c>
      <c r="K9">
        <f>E11*K4</f>
        <v>143800.15</v>
      </c>
      <c r="L9">
        <f>SUM(H9:K9)</f>
        <v>364090.15</v>
      </c>
      <c r="M9">
        <f>L9+H14-H16</f>
        <v>376915.49000000005</v>
      </c>
      <c r="N9">
        <f>N8</f>
        <v>304835</v>
      </c>
      <c r="O9">
        <f>(M9/N9 - 1) * 100</f>
        <v>23.645739498417196</v>
      </c>
    </row>
    <row r="10" spans="1:15" x14ac:dyDescent="0.3">
      <c r="A10" s="1" t="s">
        <v>8</v>
      </c>
      <c r="B10">
        <f>B11*H3</f>
        <v>58828</v>
      </c>
      <c r="C10">
        <f>C11*I3</f>
        <v>54270</v>
      </c>
      <c r="D10">
        <f>D11*J3</f>
        <v>127680</v>
      </c>
      <c r="E10">
        <f>E11*K3</f>
        <v>145990</v>
      </c>
    </row>
    <row r="11" spans="1:15" x14ac:dyDescent="0.3">
      <c r="A11" s="1" t="s">
        <v>10</v>
      </c>
      <c r="B11">
        <f>B12+B13</f>
        <v>154</v>
      </c>
      <c r="C11">
        <f>C12+C13</f>
        <v>54</v>
      </c>
      <c r="D11">
        <f>D12+D13</f>
        <v>190</v>
      </c>
      <c r="E11">
        <f>E12+E13</f>
        <v>14599</v>
      </c>
    </row>
    <row r="12" spans="1:15" x14ac:dyDescent="0.3">
      <c r="A12" s="1" t="s">
        <v>11</v>
      </c>
      <c r="B12">
        <v>142</v>
      </c>
      <c r="C12">
        <v>54</v>
      </c>
      <c r="D12">
        <v>187</v>
      </c>
      <c r="E12">
        <v>14273</v>
      </c>
      <c r="G12" s="6" t="s">
        <v>37</v>
      </c>
    </row>
    <row r="13" spans="1:15" x14ac:dyDescent="0.3">
      <c r="A13" s="1" t="s">
        <v>12</v>
      </c>
      <c r="B13">
        <f>ROUND(B6, 0)</f>
        <v>12</v>
      </c>
      <c r="C13">
        <f>ROUND(C6, 0)</f>
        <v>0</v>
      </c>
      <c r="D13">
        <f>ROUND(D6, 0)</f>
        <v>3</v>
      </c>
      <c r="E13">
        <f>ROUND(E6, 0)</f>
        <v>326</v>
      </c>
      <c r="G13" t="s">
        <v>24</v>
      </c>
      <c r="H13">
        <f>4.5*C11</f>
        <v>243</v>
      </c>
    </row>
    <row r="14" spans="1:15" x14ac:dyDescent="0.3">
      <c r="A14" s="1" t="s">
        <v>17</v>
      </c>
      <c r="B14">
        <f>ROUND(B13*H3,0)</f>
        <v>4584</v>
      </c>
      <c r="C14">
        <f>ROUND(C13*I3,0)</f>
        <v>0</v>
      </c>
      <c r="D14">
        <f>ROUND(D13*J3,0)</f>
        <v>2016</v>
      </c>
      <c r="E14">
        <f>ROUND(E13*K3,0)</f>
        <v>3260</v>
      </c>
      <c r="G14" t="s">
        <v>22</v>
      </c>
      <c r="H14">
        <f>'20250207'!H14+H13</f>
        <v>13401.34</v>
      </c>
    </row>
    <row r="15" spans="1:15" x14ac:dyDescent="0.3">
      <c r="G15" t="s">
        <v>30</v>
      </c>
      <c r="H15">
        <v>12</v>
      </c>
    </row>
    <row r="16" spans="1:15" x14ac:dyDescent="0.3">
      <c r="A16" s="4" t="s">
        <v>18</v>
      </c>
      <c r="B16">
        <v>1.95</v>
      </c>
      <c r="G16" t="s">
        <v>31</v>
      </c>
      <c r="H16">
        <f>'20250207'!H16</f>
        <v>576</v>
      </c>
    </row>
    <row r="17" spans="1:2" x14ac:dyDescent="0.3">
      <c r="A17" s="4" t="s">
        <v>19</v>
      </c>
      <c r="B17">
        <v>4.88</v>
      </c>
    </row>
    <row r="18" spans="1:2" x14ac:dyDescent="0.3">
      <c r="A18" s="4" t="s">
        <v>29</v>
      </c>
      <c r="B18">
        <v>-29914</v>
      </c>
    </row>
  </sheetData>
  <phoneticPr fontId="2" type="noConversion"/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O18"/>
  <sheetViews>
    <sheetView workbookViewId="0"/>
  </sheetViews>
  <sheetFormatPr defaultRowHeight="15" x14ac:dyDescent="0.3"/>
  <cols>
    <col min="1" max="1" width="30.75" bestFit="1" customWidth="1"/>
    <col min="2" max="2" width="12.75" bestFit="1" customWidth="1"/>
    <col min="3" max="3" width="13.375" bestFit="1" customWidth="1"/>
    <col min="4" max="5" width="12.75" bestFit="1" customWidth="1"/>
    <col min="6" max="6" width="9" customWidth="1"/>
    <col min="7" max="7" width="17.25" bestFit="1" customWidth="1"/>
    <col min="8" max="11" width="9" customWidth="1"/>
    <col min="12" max="12" width="13.75" bestFit="1" customWidth="1"/>
    <col min="13" max="13" width="14.5" bestFit="1" customWidth="1"/>
    <col min="14" max="14" width="17.375" bestFit="1" customWidth="1"/>
    <col min="15" max="15" width="12.875" bestFit="1" customWidth="1"/>
  </cols>
  <sheetData>
    <row r="1" spans="1:15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3" t="s">
        <v>5</v>
      </c>
      <c r="H1" s="1" t="s">
        <v>1</v>
      </c>
      <c r="I1" s="1" t="s">
        <v>2</v>
      </c>
      <c r="J1" s="1" t="s">
        <v>3</v>
      </c>
      <c r="K1" s="1" t="s">
        <v>4</v>
      </c>
      <c r="L1" s="7"/>
    </row>
    <row r="2" spans="1:15" x14ac:dyDescent="0.3">
      <c r="A2" s="1" t="s">
        <v>6</v>
      </c>
      <c r="B2">
        <v>0.16024188093750191</v>
      </c>
      <c r="C2">
        <v>0.13035460766115731</v>
      </c>
      <c r="D2">
        <v>0.33368148726918301</v>
      </c>
      <c r="E2">
        <v>0.37572202413215788</v>
      </c>
      <c r="G2" s="9">
        <v>45747</v>
      </c>
      <c r="H2">
        <v>360</v>
      </c>
      <c r="I2">
        <v>910</v>
      </c>
      <c r="J2">
        <v>609</v>
      </c>
      <c r="K2">
        <v>9.85</v>
      </c>
      <c r="L2" s="2" t="s">
        <v>7</v>
      </c>
    </row>
    <row r="3" spans="1:15" x14ac:dyDescent="0.3">
      <c r="A3" s="1" t="s">
        <v>8</v>
      </c>
      <c r="B3">
        <v>58306</v>
      </c>
      <c r="C3">
        <v>47431</v>
      </c>
      <c r="D3">
        <v>121414</v>
      </c>
      <c r="E3">
        <v>136711</v>
      </c>
      <c r="G3" s="9">
        <v>45755</v>
      </c>
      <c r="H3">
        <v>304</v>
      </c>
      <c r="I3">
        <v>816</v>
      </c>
      <c r="J3">
        <v>490.5</v>
      </c>
      <c r="K3">
        <v>8.9700000000000006</v>
      </c>
      <c r="L3" s="5" t="s">
        <v>9</v>
      </c>
    </row>
    <row r="4" spans="1:15" x14ac:dyDescent="0.3">
      <c r="A4" s="1" t="s">
        <v>10</v>
      </c>
      <c r="B4">
        <v>161.96111111111111</v>
      </c>
      <c r="C4">
        <v>52.364812647662788</v>
      </c>
      <c r="D4">
        <v>199.36617405582919</v>
      </c>
      <c r="E4">
        <v>13879.289340101521</v>
      </c>
      <c r="G4" s="9">
        <v>45777</v>
      </c>
      <c r="H4">
        <v>333.5</v>
      </c>
      <c r="I4">
        <v>908</v>
      </c>
      <c r="J4">
        <v>580</v>
      </c>
      <c r="K4">
        <v>9.49</v>
      </c>
      <c r="L4" s="5" t="s">
        <v>41</v>
      </c>
    </row>
    <row r="5" spans="1:15" x14ac:dyDescent="0.3">
      <c r="A5" s="1" t="s">
        <v>11</v>
      </c>
      <c r="B5">
        <v>154</v>
      </c>
      <c r="C5">
        <v>54</v>
      </c>
      <c r="D5">
        <v>190</v>
      </c>
      <c r="E5">
        <v>14599</v>
      </c>
    </row>
    <row r="6" spans="1:15" x14ac:dyDescent="0.3">
      <c r="A6" s="1" t="s">
        <v>12</v>
      </c>
      <c r="B6">
        <v>7.9611111111111086</v>
      </c>
      <c r="C6">
        <v>-1.635187352337212</v>
      </c>
      <c r="D6">
        <v>9.3661740558292195</v>
      </c>
      <c r="E6">
        <v>-719.71065989847739</v>
      </c>
      <c r="G6" s="3" t="s">
        <v>8</v>
      </c>
      <c r="H6" s="1" t="s">
        <v>1</v>
      </c>
      <c r="I6" s="1" t="s">
        <v>2</v>
      </c>
      <c r="J6" s="1" t="s">
        <v>3</v>
      </c>
      <c r="K6" s="1" t="s">
        <v>4</v>
      </c>
      <c r="L6" s="8" t="s">
        <v>25</v>
      </c>
      <c r="M6" s="1" t="s">
        <v>26</v>
      </c>
      <c r="N6" s="1" t="s">
        <v>14</v>
      </c>
      <c r="O6" s="1" t="s">
        <v>15</v>
      </c>
    </row>
    <row r="7" spans="1:15" x14ac:dyDescent="0.3">
      <c r="G7" s="9">
        <v>45747</v>
      </c>
      <c r="H7">
        <f>B5*H2</f>
        <v>55440</v>
      </c>
      <c r="I7">
        <f>C5*I2</f>
        <v>49140</v>
      </c>
      <c r="J7">
        <f>D5*J2</f>
        <v>115710</v>
      </c>
      <c r="K7">
        <f>E5*K2</f>
        <v>143800.15</v>
      </c>
      <c r="L7">
        <f>SUM(H7:K7)</f>
        <v>364090.15</v>
      </c>
      <c r="M7">
        <f>'20250307'!M9</f>
        <v>376915.49000000005</v>
      </c>
      <c r="N7">
        <f>'20250307'!N8</f>
        <v>304835</v>
      </c>
      <c r="O7">
        <f>(M7/N7 - 1) * 100</f>
        <v>23.645739498417196</v>
      </c>
    </row>
    <row r="8" spans="1:15" x14ac:dyDescent="0.3">
      <c r="A8" s="2" t="s">
        <v>16</v>
      </c>
      <c r="B8" s="1" t="s">
        <v>1</v>
      </c>
      <c r="C8" s="1" t="s">
        <v>2</v>
      </c>
      <c r="D8" s="1" t="s">
        <v>3</v>
      </c>
      <c r="E8" s="1" t="s">
        <v>4</v>
      </c>
      <c r="G8" s="9">
        <v>45755</v>
      </c>
      <c r="H8">
        <f>B11*H3</f>
        <v>51072</v>
      </c>
      <c r="I8">
        <f>C11*I3</f>
        <v>44064</v>
      </c>
      <c r="J8">
        <f>D11*J3</f>
        <v>101043</v>
      </c>
      <c r="K8">
        <f>E11*K3</f>
        <v>127616.19</v>
      </c>
      <c r="L8">
        <f>SUM(H8:K8)</f>
        <v>323795.19</v>
      </c>
      <c r="M8">
        <f>L8+H14-H16</f>
        <v>336606.53</v>
      </c>
      <c r="N8">
        <f>ROUNDUP(N7+B13*H3+C13*I3+D13*J3+E13*K3, 0)+H15</f>
        <v>313620</v>
      </c>
      <c r="O8">
        <f>(M8/N8 - 1) * 100</f>
        <v>7.3294209552962286</v>
      </c>
    </row>
    <row r="9" spans="1:15" x14ac:dyDescent="0.3">
      <c r="A9" s="1" t="s">
        <v>6</v>
      </c>
      <c r="B9">
        <f>B10/$L$8</f>
        <v>0.15772933501575487</v>
      </c>
      <c r="C9">
        <f>C10/$L$8</f>
        <v>0.13608602400795392</v>
      </c>
      <c r="D9">
        <f>D10/$L$8</f>
        <v>0.31205837245451362</v>
      </c>
      <c r="E9">
        <f>E10/$L$8</f>
        <v>0.39412626852177762</v>
      </c>
      <c r="G9" s="9">
        <v>45777</v>
      </c>
      <c r="H9">
        <f>B11*H4</f>
        <v>56028</v>
      </c>
      <c r="I9">
        <f>C11*I4</f>
        <v>49032</v>
      </c>
      <c r="J9">
        <f>D11*J4</f>
        <v>119480</v>
      </c>
      <c r="K9">
        <f>E11*K4</f>
        <v>135014.23000000001</v>
      </c>
      <c r="L9">
        <f>SUM(H9:K9)</f>
        <v>359554.23</v>
      </c>
      <c r="M9">
        <f>L9+H14-H16</f>
        <v>372365.57</v>
      </c>
      <c r="N9">
        <f>N8</f>
        <v>313620</v>
      </c>
      <c r="O9">
        <f>(M9/N9 - 1) * 100</f>
        <v>18.731448887188318</v>
      </c>
    </row>
    <row r="10" spans="1:15" x14ac:dyDescent="0.3">
      <c r="A10" s="1" t="s">
        <v>8</v>
      </c>
      <c r="B10">
        <f>B11*H3</f>
        <v>51072</v>
      </c>
      <c r="C10">
        <f>C11*I3</f>
        <v>44064</v>
      </c>
      <c r="D10">
        <f>D11*J3</f>
        <v>101043</v>
      </c>
      <c r="E10">
        <f>E11*K3</f>
        <v>127616.19</v>
      </c>
    </row>
    <row r="11" spans="1:15" x14ac:dyDescent="0.3">
      <c r="A11" s="1" t="s">
        <v>10</v>
      </c>
      <c r="B11">
        <f>B12+B13</f>
        <v>168</v>
      </c>
      <c r="C11">
        <f>C12+C13</f>
        <v>54</v>
      </c>
      <c r="D11">
        <f>D12+D13</f>
        <v>206</v>
      </c>
      <c r="E11">
        <f>E12+E13</f>
        <v>14227</v>
      </c>
    </row>
    <row r="12" spans="1:15" x14ac:dyDescent="0.3">
      <c r="A12" s="1" t="s">
        <v>11</v>
      </c>
      <c r="B12">
        <v>154</v>
      </c>
      <c r="C12">
        <v>54</v>
      </c>
      <c r="D12">
        <v>190</v>
      </c>
      <c r="E12">
        <v>14599</v>
      </c>
      <c r="G12" s="6" t="s">
        <v>38</v>
      </c>
    </row>
    <row r="13" spans="1:15" x14ac:dyDescent="0.3">
      <c r="A13" s="1" t="s">
        <v>12</v>
      </c>
      <c r="B13">
        <v>14</v>
      </c>
      <c r="C13">
        <v>0</v>
      </c>
      <c r="D13">
        <v>16</v>
      </c>
      <c r="E13">
        <v>-372</v>
      </c>
      <c r="G13" t="s">
        <v>24</v>
      </c>
    </row>
    <row r="14" spans="1:15" x14ac:dyDescent="0.3">
      <c r="A14" s="1" t="s">
        <v>17</v>
      </c>
      <c r="B14">
        <f>ROUND(B13*H3,0)</f>
        <v>4256</v>
      </c>
      <c r="C14">
        <f>ROUND(C13*I3,0)</f>
        <v>0</v>
      </c>
      <c r="D14">
        <f>ROUND(D13*J3,0)</f>
        <v>7848</v>
      </c>
      <c r="E14">
        <f>ROUND(E13*K3,0)</f>
        <v>-3337</v>
      </c>
      <c r="G14" t="s">
        <v>22</v>
      </c>
      <c r="H14">
        <f>'20250307'!H14+H13</f>
        <v>13401.34</v>
      </c>
    </row>
    <row r="15" spans="1:15" x14ac:dyDescent="0.3">
      <c r="G15" t="s">
        <v>30</v>
      </c>
      <c r="H15">
        <v>17</v>
      </c>
    </row>
    <row r="16" spans="1:15" x14ac:dyDescent="0.3">
      <c r="A16" s="4" t="s">
        <v>18</v>
      </c>
      <c r="B16">
        <v>1.8</v>
      </c>
      <c r="G16" t="s">
        <v>31</v>
      </c>
      <c r="H16">
        <f>'20250307'!H16+14</f>
        <v>590</v>
      </c>
    </row>
    <row r="17" spans="1:2" x14ac:dyDescent="0.3">
      <c r="A17" s="4" t="s">
        <v>19</v>
      </c>
      <c r="B17">
        <v>4.96</v>
      </c>
    </row>
    <row r="18" spans="1:2" x14ac:dyDescent="0.3">
      <c r="A18" s="4" t="s">
        <v>29</v>
      </c>
      <c r="B18">
        <v>-28847</v>
      </c>
    </row>
  </sheetData>
  <phoneticPr fontId="2" type="noConversion"/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O18"/>
  <sheetViews>
    <sheetView workbookViewId="0"/>
  </sheetViews>
  <sheetFormatPr defaultRowHeight="15" x14ac:dyDescent="0.3"/>
  <cols>
    <col min="1" max="1" width="30.75" bestFit="1" customWidth="1"/>
    <col min="2" max="2" width="12.75" bestFit="1" customWidth="1"/>
    <col min="3" max="3" width="13.375" bestFit="1" customWidth="1"/>
    <col min="4" max="5" width="12.75" bestFit="1" customWidth="1"/>
    <col min="6" max="6" width="9" customWidth="1"/>
    <col min="7" max="7" width="17.25" bestFit="1" customWidth="1"/>
    <col min="8" max="11" width="9" customWidth="1"/>
    <col min="12" max="12" width="13.75" bestFit="1" customWidth="1"/>
    <col min="13" max="13" width="14.5" bestFit="1" customWidth="1"/>
    <col min="14" max="14" width="17.375" bestFit="1" customWidth="1"/>
    <col min="15" max="15" width="12.875" bestFit="1" customWidth="1"/>
  </cols>
  <sheetData>
    <row r="1" spans="1:15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3" t="s">
        <v>5</v>
      </c>
      <c r="H1" s="1" t="s">
        <v>1</v>
      </c>
      <c r="I1" s="1" t="s">
        <v>2</v>
      </c>
      <c r="J1" s="1" t="s">
        <v>3</v>
      </c>
      <c r="K1" s="1" t="s">
        <v>4</v>
      </c>
      <c r="L1" s="7"/>
    </row>
    <row r="2" spans="1:15" x14ac:dyDescent="0.3">
      <c r="A2" s="1" t="s">
        <v>6</v>
      </c>
      <c r="B2">
        <v>0.12703754297219</v>
      </c>
      <c r="C2">
        <v>0.16053359537824391</v>
      </c>
      <c r="D2">
        <v>0.32399619718793687</v>
      </c>
      <c r="E2">
        <v>0.38843266446162927</v>
      </c>
      <c r="G2" s="9">
        <v>45777</v>
      </c>
      <c r="H2">
        <v>333.5</v>
      </c>
      <c r="I2">
        <v>908</v>
      </c>
      <c r="J2">
        <v>580</v>
      </c>
      <c r="K2">
        <v>9.49</v>
      </c>
      <c r="L2" s="2" t="s">
        <v>7</v>
      </c>
    </row>
    <row r="3" spans="1:15" x14ac:dyDescent="0.3">
      <c r="A3" s="1" t="s">
        <v>8</v>
      </c>
      <c r="B3">
        <v>46947</v>
      </c>
      <c r="C3">
        <v>59326</v>
      </c>
      <c r="D3">
        <v>119734</v>
      </c>
      <c r="E3">
        <v>143547</v>
      </c>
      <c r="G3" s="9">
        <v>45784</v>
      </c>
      <c r="H3">
        <v>363.5</v>
      </c>
      <c r="I3">
        <v>920</v>
      </c>
      <c r="J3">
        <v>594</v>
      </c>
      <c r="K3">
        <v>9.6</v>
      </c>
      <c r="L3" s="5" t="s">
        <v>9</v>
      </c>
    </row>
    <row r="4" spans="1:15" x14ac:dyDescent="0.3">
      <c r="A4" s="1" t="s">
        <v>10</v>
      </c>
      <c r="B4">
        <v>140.77061469265371</v>
      </c>
      <c r="C4">
        <v>65.337004405286351</v>
      </c>
      <c r="D4">
        <v>206.43793103448269</v>
      </c>
      <c r="E4">
        <v>15126.132771338251</v>
      </c>
      <c r="G4" s="9">
        <v>45806</v>
      </c>
      <c r="H4">
        <v>374</v>
      </c>
      <c r="I4">
        <v>967</v>
      </c>
      <c r="J4">
        <v>625</v>
      </c>
      <c r="K4">
        <v>9.4600000000000009</v>
      </c>
      <c r="L4" s="5" t="s">
        <v>41</v>
      </c>
    </row>
    <row r="5" spans="1:15" x14ac:dyDescent="0.3">
      <c r="A5" s="1" t="s">
        <v>11</v>
      </c>
      <c r="B5">
        <v>168</v>
      </c>
      <c r="C5">
        <v>54</v>
      </c>
      <c r="D5">
        <v>206</v>
      </c>
      <c r="E5">
        <v>14227</v>
      </c>
    </row>
    <row r="6" spans="1:15" x14ac:dyDescent="0.3">
      <c r="A6" s="1" t="s">
        <v>12</v>
      </c>
      <c r="B6">
        <v>-27.22938530734632</v>
      </c>
      <c r="C6">
        <v>11.337004405286351</v>
      </c>
      <c r="D6">
        <v>0.43793103448274451</v>
      </c>
      <c r="E6">
        <v>899.13277133825068</v>
      </c>
      <c r="G6" s="3" t="s">
        <v>8</v>
      </c>
      <c r="H6" s="1" t="s">
        <v>1</v>
      </c>
      <c r="I6" s="1" t="s">
        <v>2</v>
      </c>
      <c r="J6" s="1" t="s">
        <v>3</v>
      </c>
      <c r="K6" s="1" t="s">
        <v>4</v>
      </c>
      <c r="L6" s="8" t="s">
        <v>25</v>
      </c>
      <c r="M6" s="1" t="s">
        <v>26</v>
      </c>
      <c r="N6" s="1" t="s">
        <v>14</v>
      </c>
      <c r="O6" s="1" t="s">
        <v>15</v>
      </c>
    </row>
    <row r="7" spans="1:15" x14ac:dyDescent="0.3">
      <c r="G7" s="9">
        <v>45777</v>
      </c>
      <c r="H7">
        <f>B5*H2</f>
        <v>56028</v>
      </c>
      <c r="I7">
        <f>C5*I2</f>
        <v>49032</v>
      </c>
      <c r="J7">
        <f>D5*J2</f>
        <v>119480</v>
      </c>
      <c r="K7">
        <f>E5*K2</f>
        <v>135014.23000000001</v>
      </c>
      <c r="L7">
        <f>SUM(H7:K7)</f>
        <v>359554.23</v>
      </c>
      <c r="M7">
        <f>'20250408'!M9</f>
        <v>372365.57</v>
      </c>
      <c r="N7">
        <f>'20250408'!N8</f>
        <v>313620</v>
      </c>
      <c r="O7">
        <f>(M7/N7 - 1) * 100</f>
        <v>18.731448887188318</v>
      </c>
    </row>
    <row r="8" spans="1:15" x14ac:dyDescent="0.3">
      <c r="A8" s="2" t="s">
        <v>16</v>
      </c>
      <c r="B8" s="1" t="s">
        <v>1</v>
      </c>
      <c r="C8" s="1" t="s">
        <v>2</v>
      </c>
      <c r="D8" s="1" t="s">
        <v>3</v>
      </c>
      <c r="E8" s="1" t="s">
        <v>4</v>
      </c>
      <c r="G8" s="9">
        <v>45784</v>
      </c>
      <c r="H8">
        <f>B11*H3</f>
        <v>51253.5</v>
      </c>
      <c r="I8">
        <f>C11*I3</f>
        <v>59800</v>
      </c>
      <c r="J8">
        <f>D11*J3</f>
        <v>122364</v>
      </c>
      <c r="K8">
        <f>E11*K3</f>
        <v>145209.60000000001</v>
      </c>
      <c r="L8">
        <f>SUM(H8:K8)</f>
        <v>378627.1</v>
      </c>
      <c r="M8">
        <f>L8+H14-H16</f>
        <v>391396.44</v>
      </c>
      <c r="N8">
        <f>ROUNDUP(N7+B13*H3+C13*I3+D13*J3+E13*K3, 0)+H15</f>
        <v>322582</v>
      </c>
      <c r="O8">
        <f>(M8/N8 - 1) * 100</f>
        <v>21.332386803975425</v>
      </c>
    </row>
    <row r="9" spans="1:15" x14ac:dyDescent="0.3">
      <c r="A9" s="1" t="s">
        <v>6</v>
      </c>
      <c r="B9">
        <f>B10/$L$8</f>
        <v>0.13536669720682962</v>
      </c>
      <c r="C9">
        <f>C10/$L$8</f>
        <v>0.1579390381723865</v>
      </c>
      <c r="D9">
        <f>D10/$L$8</f>
        <v>0.32317813489842645</v>
      </c>
      <c r="E9">
        <f>E10/$L$8</f>
        <v>0.38351612972235749</v>
      </c>
      <c r="G9" s="9">
        <v>45806</v>
      </c>
      <c r="H9">
        <f>B11*H4</f>
        <v>52734</v>
      </c>
      <c r="I9">
        <f>C11*I4</f>
        <v>62855</v>
      </c>
      <c r="J9">
        <f>D11*J4</f>
        <v>128750</v>
      </c>
      <c r="K9">
        <f>E11*K4</f>
        <v>143091.96000000002</v>
      </c>
      <c r="L9">
        <f>SUM(H9:K9)</f>
        <v>387430.96</v>
      </c>
      <c r="M9">
        <f>L9+H14-H16</f>
        <v>400200.30000000005</v>
      </c>
      <c r="N9">
        <f>N8</f>
        <v>322582</v>
      </c>
      <c r="O9">
        <f>(M9/N9 - 1) * 100</f>
        <v>24.061571941397865</v>
      </c>
    </row>
    <row r="10" spans="1:15" x14ac:dyDescent="0.3">
      <c r="A10" s="1" t="s">
        <v>8</v>
      </c>
      <c r="B10">
        <f>B11*H3</f>
        <v>51253.5</v>
      </c>
      <c r="C10">
        <f>C11*I3</f>
        <v>59800</v>
      </c>
      <c r="D10">
        <f>D11*J3</f>
        <v>122364</v>
      </c>
      <c r="E10">
        <f>E11*K3</f>
        <v>145209.60000000001</v>
      </c>
    </row>
    <row r="11" spans="1:15" x14ac:dyDescent="0.3">
      <c r="A11" s="1" t="s">
        <v>10</v>
      </c>
      <c r="B11">
        <f>B12+B13</f>
        <v>141</v>
      </c>
      <c r="C11">
        <f>C12+C13</f>
        <v>65</v>
      </c>
      <c r="D11">
        <f>D12+D13</f>
        <v>206</v>
      </c>
      <c r="E11">
        <f>E12+E13</f>
        <v>15126</v>
      </c>
    </row>
    <row r="12" spans="1:15" x14ac:dyDescent="0.3">
      <c r="A12" s="1" t="s">
        <v>11</v>
      </c>
      <c r="B12">
        <v>168</v>
      </c>
      <c r="C12">
        <v>54</v>
      </c>
      <c r="D12">
        <v>206</v>
      </c>
      <c r="E12">
        <v>14227</v>
      </c>
      <c r="G12" s="6" t="s">
        <v>38</v>
      </c>
    </row>
    <row r="13" spans="1:15" x14ac:dyDescent="0.3">
      <c r="A13" s="1" t="s">
        <v>12</v>
      </c>
      <c r="B13">
        <f>ROUND(B6, 0)</f>
        <v>-27</v>
      </c>
      <c r="C13">
        <f>ROUND(C6, 0)</f>
        <v>11</v>
      </c>
      <c r="D13">
        <f>ROUND(D6, 0)</f>
        <v>0</v>
      </c>
      <c r="E13">
        <f>ROUND(E6, 0)</f>
        <v>899</v>
      </c>
      <c r="G13" t="s">
        <v>24</v>
      </c>
    </row>
    <row r="14" spans="1:15" x14ac:dyDescent="0.3">
      <c r="A14" s="1" t="s">
        <v>17</v>
      </c>
      <c r="B14">
        <f>ROUND(B13*H3,0)</f>
        <v>-9815</v>
      </c>
      <c r="C14">
        <f>ROUND(C13*I3,0)</f>
        <v>10120</v>
      </c>
      <c r="D14">
        <f>ROUND(D13*J3,0)</f>
        <v>0</v>
      </c>
      <c r="E14">
        <f>ROUND(E13*K3,0)</f>
        <v>8630</v>
      </c>
      <c r="G14" t="s">
        <v>22</v>
      </c>
      <c r="H14">
        <f>'20250408'!H14+H13</f>
        <v>13401.34</v>
      </c>
    </row>
    <row r="15" spans="1:15" x14ac:dyDescent="0.3">
      <c r="G15" t="s">
        <v>30</v>
      </c>
      <c r="H15">
        <v>26</v>
      </c>
    </row>
    <row r="16" spans="1:15" x14ac:dyDescent="0.3">
      <c r="A16" s="4" t="s">
        <v>18</v>
      </c>
      <c r="B16">
        <v>1.7</v>
      </c>
      <c r="G16" t="s">
        <v>31</v>
      </c>
      <c r="H16">
        <f>'20250408'!H16+42</f>
        <v>632</v>
      </c>
    </row>
    <row r="17" spans="1:2" x14ac:dyDescent="0.3">
      <c r="A17" s="4" t="s">
        <v>19</v>
      </c>
      <c r="B17">
        <v>4.96</v>
      </c>
    </row>
    <row r="18" spans="1:2" x14ac:dyDescent="0.3">
      <c r="A18" s="4" t="s">
        <v>29</v>
      </c>
      <c r="B18">
        <v>-29620</v>
      </c>
    </row>
  </sheetData>
  <phoneticPr fontId="2" type="noConversion"/>
  <pageMargins left="0.75" right="0.75" top="1" bottom="1" header="0.5" footer="0.5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O18"/>
  <sheetViews>
    <sheetView workbookViewId="0">
      <selection activeCell="L5" sqref="L5"/>
    </sheetView>
  </sheetViews>
  <sheetFormatPr defaultRowHeight="15" x14ac:dyDescent="0.3"/>
  <cols>
    <col min="1" max="1" width="30.75" bestFit="1" customWidth="1"/>
    <col min="2" max="2" width="12.75" bestFit="1" customWidth="1"/>
    <col min="3" max="3" width="13.375" bestFit="1" customWidth="1"/>
    <col min="4" max="5" width="12.75" bestFit="1" customWidth="1"/>
    <col min="6" max="6" width="9" customWidth="1"/>
    <col min="7" max="7" width="17.25" bestFit="1" customWidth="1"/>
    <col min="8" max="11" width="9" customWidth="1"/>
    <col min="12" max="12" width="13.75" bestFit="1" customWidth="1"/>
    <col min="13" max="13" width="14.5" bestFit="1" customWidth="1"/>
    <col min="14" max="14" width="17.375" bestFit="1" customWidth="1"/>
    <col min="15" max="15" width="12.875" bestFit="1" customWidth="1"/>
    <col min="16" max="16" width="9" customWidth="1"/>
  </cols>
  <sheetData>
    <row r="1" spans="1:15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3" t="s">
        <v>5</v>
      </c>
      <c r="H1" s="1" t="s">
        <v>1</v>
      </c>
      <c r="I1" s="1" t="s">
        <v>2</v>
      </c>
      <c r="J1" s="1" t="s">
        <v>3</v>
      </c>
      <c r="K1" s="1" t="s">
        <v>4</v>
      </c>
      <c r="L1" s="7"/>
    </row>
    <row r="2" spans="1:15" x14ac:dyDescent="0.3">
      <c r="A2" s="1" t="s">
        <v>6</v>
      </c>
      <c r="B2">
        <v>0.13536669720682959</v>
      </c>
      <c r="C2">
        <v>0.1579390381723865</v>
      </c>
      <c r="D2">
        <v>0.32317813489842651</v>
      </c>
      <c r="E2">
        <v>0.38351612972235749</v>
      </c>
      <c r="G2" s="9">
        <v>45806</v>
      </c>
      <c r="H2">
        <v>374</v>
      </c>
      <c r="I2">
        <v>967</v>
      </c>
      <c r="J2">
        <v>625</v>
      </c>
      <c r="K2">
        <v>9.4600000000000009</v>
      </c>
      <c r="L2" s="2" t="s">
        <v>7</v>
      </c>
    </row>
    <row r="3" spans="1:15" x14ac:dyDescent="0.3">
      <c r="A3" s="1" t="s">
        <v>8</v>
      </c>
      <c r="B3">
        <v>51253.5</v>
      </c>
      <c r="C3">
        <v>59800</v>
      </c>
      <c r="D3">
        <v>122364</v>
      </c>
      <c r="E3">
        <v>145209.60000000001</v>
      </c>
      <c r="G3" s="9">
        <v>45822</v>
      </c>
      <c r="H3">
        <v>398</v>
      </c>
      <c r="I3">
        <v>1030</v>
      </c>
      <c r="J3">
        <v>684</v>
      </c>
      <c r="K3">
        <v>9.39</v>
      </c>
      <c r="L3" s="5" t="s">
        <v>9</v>
      </c>
    </row>
    <row r="4" spans="1:15" x14ac:dyDescent="0.3">
      <c r="A4" s="1" t="s">
        <v>10</v>
      </c>
      <c r="B4">
        <v>141</v>
      </c>
      <c r="C4">
        <v>65</v>
      </c>
      <c r="D4">
        <v>206</v>
      </c>
      <c r="E4">
        <v>15126</v>
      </c>
      <c r="G4" s="9">
        <v>45838</v>
      </c>
      <c r="H4">
        <v>413</v>
      </c>
      <c r="I4">
        <v>1060</v>
      </c>
      <c r="J4">
        <v>644</v>
      </c>
      <c r="K4">
        <v>9.23</v>
      </c>
      <c r="L4" s="5" t="s">
        <v>41</v>
      </c>
    </row>
    <row r="5" spans="1:15" x14ac:dyDescent="0.3">
      <c r="A5" s="1" t="s">
        <v>11</v>
      </c>
      <c r="B5">
        <v>141</v>
      </c>
      <c r="C5">
        <v>65</v>
      </c>
      <c r="D5">
        <v>206</v>
      </c>
      <c r="E5">
        <v>15126</v>
      </c>
    </row>
    <row r="6" spans="1:15" x14ac:dyDescent="0.3">
      <c r="A6" s="1" t="s">
        <v>12</v>
      </c>
      <c r="B6">
        <v>0</v>
      </c>
      <c r="C6">
        <v>0</v>
      </c>
      <c r="D6">
        <v>0</v>
      </c>
      <c r="E6">
        <v>0</v>
      </c>
      <c r="G6" s="3" t="s">
        <v>8</v>
      </c>
      <c r="H6" s="1" t="s">
        <v>1</v>
      </c>
      <c r="I6" s="1" t="s">
        <v>2</v>
      </c>
      <c r="J6" s="1" t="s">
        <v>3</v>
      </c>
      <c r="K6" s="1" t="s">
        <v>4</v>
      </c>
      <c r="L6" s="8" t="s">
        <v>25</v>
      </c>
      <c r="M6" s="1" t="s">
        <v>26</v>
      </c>
      <c r="N6" s="1" t="s">
        <v>14</v>
      </c>
      <c r="O6" s="1" t="s">
        <v>15</v>
      </c>
    </row>
    <row r="7" spans="1:15" x14ac:dyDescent="0.3">
      <c r="G7" s="9">
        <v>45806</v>
      </c>
      <c r="H7">
        <f>B5*H2</f>
        <v>52734</v>
      </c>
      <c r="I7">
        <f>C5*I2</f>
        <v>62855</v>
      </c>
      <c r="J7">
        <f>D5*J2</f>
        <v>128750</v>
      </c>
      <c r="K7">
        <f>E5*K2</f>
        <v>143091.96000000002</v>
      </c>
      <c r="L7">
        <f>SUM(H7:K7)</f>
        <v>387430.96</v>
      </c>
      <c r="M7">
        <f>'20250408'!M9</f>
        <v>372365.57</v>
      </c>
      <c r="N7">
        <f>'20250408'!N8</f>
        <v>313620</v>
      </c>
      <c r="O7">
        <f>(M7/N7 - 1) * 100</f>
        <v>18.731448887188318</v>
      </c>
    </row>
    <row r="8" spans="1:15" x14ac:dyDescent="0.3">
      <c r="A8" s="2" t="s">
        <v>16</v>
      </c>
      <c r="B8" s="1" t="s">
        <v>1</v>
      </c>
      <c r="C8" s="1" t="s">
        <v>2</v>
      </c>
      <c r="D8" s="1" t="s">
        <v>3</v>
      </c>
      <c r="E8" s="1" t="s">
        <v>4</v>
      </c>
      <c r="G8" s="9">
        <v>45822</v>
      </c>
      <c r="H8">
        <f>B11*H3</f>
        <v>56118</v>
      </c>
      <c r="I8">
        <f>C11*I3</f>
        <v>66950</v>
      </c>
      <c r="J8">
        <f>D11*J3</f>
        <v>140904</v>
      </c>
      <c r="K8">
        <f>E11*K3</f>
        <v>142033.14000000001</v>
      </c>
      <c r="L8">
        <f>SUM(H8:K8)</f>
        <v>406005.14</v>
      </c>
      <c r="M8">
        <f>L8+H14-H16</f>
        <v>427032.48000000004</v>
      </c>
      <c r="N8">
        <f>ROUNDUP(N7+B13*H3+C13*I3+D13*J3+E13*K3, 0)+H15</f>
        <v>313620</v>
      </c>
      <c r="O8">
        <f>(M8/N8 - 1) * 100</f>
        <v>36.162387602831458</v>
      </c>
    </row>
    <row r="9" spans="1:15" x14ac:dyDescent="0.3">
      <c r="A9" s="1" t="s">
        <v>6</v>
      </c>
      <c r="B9">
        <f>B10/$L$8</f>
        <v>0.13821992499897906</v>
      </c>
      <c r="C9">
        <f>C10/$L$8</f>
        <v>0.16489939018998626</v>
      </c>
      <c r="D9">
        <f>D10/$L$8</f>
        <v>0.34704979350754034</v>
      </c>
      <c r="E9">
        <f>E10/$L$8</f>
        <v>0.34983089130349437</v>
      </c>
      <c r="G9" s="9">
        <v>45838</v>
      </c>
      <c r="H9">
        <f>B11*H4</f>
        <v>58233</v>
      </c>
      <c r="I9">
        <f>C11*I4</f>
        <v>68900</v>
      </c>
      <c r="J9">
        <f>D11*J4</f>
        <v>132664</v>
      </c>
      <c r="K9">
        <f>E11*K4</f>
        <v>139612.98000000001</v>
      </c>
      <c r="L9">
        <f>SUM(H9:K9)</f>
        <v>399409.98</v>
      </c>
      <c r="M9">
        <f>L9+H14-H16</f>
        <v>420437.32</v>
      </c>
      <c r="N9">
        <f>N8</f>
        <v>313620</v>
      </c>
      <c r="O9">
        <f>(M9/N9 - 1) * 100</f>
        <v>34.059473247879609</v>
      </c>
    </row>
    <row r="10" spans="1:15" x14ac:dyDescent="0.3">
      <c r="A10" s="1" t="s">
        <v>8</v>
      </c>
      <c r="B10">
        <f>B11*H3</f>
        <v>56118</v>
      </c>
      <c r="C10">
        <f>C11*I3</f>
        <v>66950</v>
      </c>
      <c r="D10">
        <f>D11*J3</f>
        <v>140904</v>
      </c>
      <c r="E10">
        <f>E11*K3</f>
        <v>142033.14000000001</v>
      </c>
    </row>
    <row r="11" spans="1:15" x14ac:dyDescent="0.3">
      <c r="A11" s="1" t="s">
        <v>10</v>
      </c>
      <c r="B11">
        <f>B12+B13</f>
        <v>141</v>
      </c>
      <c r="C11">
        <f>C12+C13</f>
        <v>65</v>
      </c>
      <c r="D11">
        <f>D12+D13</f>
        <v>206</v>
      </c>
      <c r="E11">
        <f>E12+E13</f>
        <v>15126</v>
      </c>
    </row>
    <row r="12" spans="1:15" x14ac:dyDescent="0.3">
      <c r="A12" s="1" t="s">
        <v>11</v>
      </c>
      <c r="B12">
        <v>141</v>
      </c>
      <c r="C12">
        <v>65</v>
      </c>
      <c r="D12">
        <v>206</v>
      </c>
      <c r="E12">
        <v>15126</v>
      </c>
      <c r="G12" s="6" t="s">
        <v>40</v>
      </c>
    </row>
    <row r="13" spans="1:15" x14ac:dyDescent="0.3">
      <c r="A13" s="1" t="s">
        <v>12</v>
      </c>
      <c r="B13">
        <f>ROUND(B6, 0)</f>
        <v>0</v>
      </c>
      <c r="C13">
        <f>ROUND(C6, 0)</f>
        <v>0</v>
      </c>
      <c r="D13">
        <f>ROUND(D6, 0)</f>
        <v>0</v>
      </c>
      <c r="E13">
        <f>ROUND(E6, 0)</f>
        <v>0</v>
      </c>
      <c r="G13" t="s">
        <v>24</v>
      </c>
      <c r="H13">
        <f>977+287+6994</f>
        <v>8258</v>
      </c>
    </row>
    <row r="14" spans="1:15" x14ac:dyDescent="0.3">
      <c r="A14" s="1" t="s">
        <v>17</v>
      </c>
      <c r="B14">
        <f>ROUND(B13*H3,0)</f>
        <v>0</v>
      </c>
      <c r="C14">
        <f>ROUND(C13*I3,0)</f>
        <v>0</v>
      </c>
      <c r="D14">
        <f>ROUND(D13*J3,0)</f>
        <v>0</v>
      </c>
      <c r="E14">
        <f>ROUND(E13*K3,0)</f>
        <v>0</v>
      </c>
      <c r="G14" t="s">
        <v>22</v>
      </c>
      <c r="H14">
        <f>'20250507'!H14+H13</f>
        <v>21659.34</v>
      </c>
    </row>
    <row r="15" spans="1:15" x14ac:dyDescent="0.3">
      <c r="G15" t="s">
        <v>30</v>
      </c>
    </row>
    <row r="16" spans="1:15" x14ac:dyDescent="0.3">
      <c r="A16" s="4" t="s">
        <v>18</v>
      </c>
      <c r="B16">
        <v>1.7</v>
      </c>
      <c r="G16" t="s">
        <v>31</v>
      </c>
      <c r="H16">
        <f>'20250507'!H16</f>
        <v>632</v>
      </c>
    </row>
    <row r="17" spans="1:2" x14ac:dyDescent="0.3">
      <c r="A17" s="4" t="s">
        <v>19</v>
      </c>
      <c r="B17">
        <v>4.96</v>
      </c>
    </row>
    <row r="18" spans="1:2" x14ac:dyDescent="0.3">
      <c r="A18" s="4" t="s">
        <v>29</v>
      </c>
      <c r="B18">
        <v>-29620</v>
      </c>
    </row>
  </sheetData>
  <phoneticPr fontId="2" type="noConversion"/>
  <pageMargins left="0.75" right="0.75" top="1" bottom="1" header="0.5" footer="0.5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O18"/>
  <sheetViews>
    <sheetView workbookViewId="0"/>
  </sheetViews>
  <sheetFormatPr defaultRowHeight="15" x14ac:dyDescent="0.3"/>
  <cols>
    <col min="1" max="1" width="30.75" bestFit="1" customWidth="1"/>
    <col min="2" max="2" width="12.75" bestFit="1" customWidth="1"/>
    <col min="3" max="3" width="13.375" bestFit="1" customWidth="1"/>
    <col min="4" max="5" width="12.75" bestFit="1" customWidth="1"/>
    <col min="6" max="6" width="9" customWidth="1"/>
    <col min="7" max="7" width="17.25" bestFit="1" customWidth="1"/>
    <col min="8" max="11" width="9" customWidth="1"/>
    <col min="12" max="12" width="13.75" bestFit="1" customWidth="1"/>
    <col min="13" max="13" width="14.5" bestFit="1" customWidth="1"/>
    <col min="14" max="14" width="17.375" bestFit="1" customWidth="1"/>
    <col min="15" max="15" width="12.875" bestFit="1" customWidth="1"/>
  </cols>
  <sheetData>
    <row r="1" spans="1:15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3" t="s">
        <v>5</v>
      </c>
      <c r="H1" s="1" t="s">
        <v>1</v>
      </c>
      <c r="I1" s="1" t="s">
        <v>2</v>
      </c>
      <c r="J1" s="1" t="s">
        <v>3</v>
      </c>
      <c r="K1" s="1" t="s">
        <v>4</v>
      </c>
      <c r="L1" s="7"/>
    </row>
    <row r="2" spans="1:15" x14ac:dyDescent="0.3">
      <c r="A2" s="1" t="s">
        <v>6</v>
      </c>
      <c r="B2">
        <v>0.14251708141126709</v>
      </c>
      <c r="C2">
        <v>0.16464491754875771</v>
      </c>
      <c r="D2">
        <v>0.3247091499460647</v>
      </c>
      <c r="E2">
        <v>0.36812885109391058</v>
      </c>
      <c r="G2" s="9">
        <v>45838</v>
      </c>
      <c r="H2">
        <v>413</v>
      </c>
      <c r="I2">
        <v>1060</v>
      </c>
      <c r="J2">
        <v>644</v>
      </c>
      <c r="K2">
        <v>9.23</v>
      </c>
      <c r="L2" s="2" t="s">
        <v>7</v>
      </c>
    </row>
    <row r="3" spans="1:15" x14ac:dyDescent="0.3">
      <c r="A3" s="1" t="s">
        <v>8</v>
      </c>
      <c r="B3">
        <v>55859</v>
      </c>
      <c r="C3">
        <v>64532</v>
      </c>
      <c r="D3">
        <v>127269</v>
      </c>
      <c r="E3">
        <v>144287</v>
      </c>
      <c r="G3" s="9">
        <v>45846</v>
      </c>
      <c r="H3">
        <v>450</v>
      </c>
      <c r="I3">
        <v>1070</v>
      </c>
      <c r="J3">
        <v>633</v>
      </c>
      <c r="K3">
        <v>9.42</v>
      </c>
      <c r="L3" s="5" t="s">
        <v>9</v>
      </c>
    </row>
    <row r="4" spans="1:15" x14ac:dyDescent="0.3">
      <c r="A4" s="1" t="s">
        <v>10</v>
      </c>
      <c r="B4">
        <v>137.6583370299177</v>
      </c>
      <c r="C4">
        <v>60.879245283018868</v>
      </c>
      <c r="D4">
        <v>207.71151586368981</v>
      </c>
      <c r="E4">
        <v>15632.394366197181</v>
      </c>
      <c r="G4" s="9">
        <v>45869</v>
      </c>
      <c r="H4">
        <v>570</v>
      </c>
      <c r="I4">
        <v>1155</v>
      </c>
      <c r="J4">
        <v>656</v>
      </c>
      <c r="K4">
        <v>9.0803480000000008</v>
      </c>
      <c r="L4" s="5" t="s">
        <v>46</v>
      </c>
    </row>
    <row r="5" spans="1:15" x14ac:dyDescent="0.3">
      <c r="A5" s="1" t="s">
        <v>11</v>
      </c>
      <c r="B5">
        <v>141</v>
      </c>
      <c r="C5">
        <v>65</v>
      </c>
      <c r="D5">
        <v>206</v>
      </c>
      <c r="E5">
        <v>15126</v>
      </c>
    </row>
    <row r="6" spans="1:15" x14ac:dyDescent="0.3">
      <c r="A6" s="1" t="s">
        <v>12</v>
      </c>
      <c r="B6">
        <v>-3.3416629700822971</v>
      </c>
      <c r="C6">
        <v>-4.120754716981132</v>
      </c>
      <c r="D6">
        <v>1.7115158636897549</v>
      </c>
      <c r="E6">
        <v>506.39436619718248</v>
      </c>
      <c r="G6" s="3" t="s">
        <v>8</v>
      </c>
      <c r="H6" s="1" t="s">
        <v>1</v>
      </c>
      <c r="I6" s="1" t="s">
        <v>2</v>
      </c>
      <c r="J6" s="1" t="s">
        <v>3</v>
      </c>
      <c r="K6" s="1" t="s">
        <v>4</v>
      </c>
      <c r="L6" s="8" t="s">
        <v>25</v>
      </c>
      <c r="M6" s="1" t="s">
        <v>26</v>
      </c>
      <c r="N6" s="1" t="s">
        <v>14</v>
      </c>
      <c r="O6" s="1" t="s">
        <v>15</v>
      </c>
    </row>
    <row r="7" spans="1:15" x14ac:dyDescent="0.3">
      <c r="G7" s="9">
        <v>45838</v>
      </c>
      <c r="H7">
        <f>B5*H2</f>
        <v>58233</v>
      </c>
      <c r="I7">
        <f>C5*I2</f>
        <v>68900</v>
      </c>
      <c r="J7">
        <f>D5*J2</f>
        <v>132664</v>
      </c>
      <c r="K7">
        <f>E5*K2</f>
        <v>139612.98000000001</v>
      </c>
      <c r="L7">
        <f>SUM(H7:K7)</f>
        <v>399409.98</v>
      </c>
      <c r="M7">
        <f>'20250616'!M9</f>
        <v>420437.32</v>
      </c>
      <c r="N7">
        <f>'20250616'!N8</f>
        <v>313620</v>
      </c>
      <c r="O7">
        <f>(M7/N7 - 1) * 100</f>
        <v>34.059473247879609</v>
      </c>
    </row>
    <row r="8" spans="1:15" x14ac:dyDescent="0.3">
      <c r="A8" s="2" t="s">
        <v>16</v>
      </c>
      <c r="B8" s="1" t="s">
        <v>1</v>
      </c>
      <c r="C8" s="1" t="s">
        <v>2</v>
      </c>
      <c r="D8" s="1" t="s">
        <v>3</v>
      </c>
      <c r="E8" s="1" t="s">
        <v>4</v>
      </c>
      <c r="G8" s="9">
        <v>45846</v>
      </c>
      <c r="H8">
        <f>B11*H3</f>
        <v>62100</v>
      </c>
      <c r="I8">
        <f>C11*I3</f>
        <v>65270</v>
      </c>
      <c r="J8">
        <f>D11*J3</f>
        <v>131664</v>
      </c>
      <c r="K8">
        <f>E11*K3</f>
        <v>147253.44</v>
      </c>
      <c r="L8">
        <f>SUM(H8:K8)</f>
        <v>406287.44</v>
      </c>
      <c r="M8">
        <f>L8+H14-H16</f>
        <v>433110.78</v>
      </c>
      <c r="N8">
        <f>ROUNDUP(N7+B13*H3+C13*I3+D13*J3+E13*K3, 0)+H15</f>
        <v>314030</v>
      </c>
      <c r="O8">
        <f>(M8/N8 - 1) * 100</f>
        <v>37.920192338311629</v>
      </c>
    </row>
    <row r="9" spans="1:15" x14ac:dyDescent="0.3">
      <c r="A9" s="1" t="s">
        <v>6</v>
      </c>
      <c r="B9">
        <f>B10/$L$8</f>
        <v>0.15284745204035843</v>
      </c>
      <c r="C9">
        <f>C10/$L$8</f>
        <v>0.16064980989813518</v>
      </c>
      <c r="D9">
        <f>D10/$L$8</f>
        <v>0.32406613406508455</v>
      </c>
      <c r="E9">
        <f>E10/$L$8</f>
        <v>0.36243660399642186</v>
      </c>
      <c r="G9" s="9">
        <v>45869</v>
      </c>
      <c r="H9">
        <f>B11*H4</f>
        <v>78660</v>
      </c>
      <c r="I9">
        <f>C11*I4</f>
        <v>70455</v>
      </c>
      <c r="J9">
        <f>D11*J4</f>
        <v>136448</v>
      </c>
      <c r="K9">
        <f>E11*K4</f>
        <v>141943.99993600001</v>
      </c>
      <c r="L9">
        <f>SUM(H9:K9)</f>
        <v>427506.99993599998</v>
      </c>
      <c r="M9">
        <f>L9+H14-H16</f>
        <v>454330.339936</v>
      </c>
      <c r="N9">
        <f>N8</f>
        <v>314030</v>
      </c>
      <c r="O9">
        <f>(M9/N9 - 1) * 100</f>
        <v>44.677368383912366</v>
      </c>
    </row>
    <row r="10" spans="1:15" x14ac:dyDescent="0.3">
      <c r="A10" s="1" t="s">
        <v>8</v>
      </c>
      <c r="B10">
        <f>B11*H3</f>
        <v>62100</v>
      </c>
      <c r="C10">
        <f>C11*I3</f>
        <v>65270</v>
      </c>
      <c r="D10">
        <f>D11*J3</f>
        <v>131664</v>
      </c>
      <c r="E10">
        <f>E11*K3</f>
        <v>147253.44</v>
      </c>
    </row>
    <row r="11" spans="1:15" x14ac:dyDescent="0.3">
      <c r="A11" s="1" t="s">
        <v>10</v>
      </c>
      <c r="B11">
        <f>B12+B13</f>
        <v>138</v>
      </c>
      <c r="C11">
        <f>C12+C13</f>
        <v>61</v>
      </c>
      <c r="D11">
        <f>D12+D13</f>
        <v>208</v>
      </c>
      <c r="E11">
        <f>E12+E13</f>
        <v>15632</v>
      </c>
    </row>
    <row r="12" spans="1:15" x14ac:dyDescent="0.3">
      <c r="A12" s="1" t="s">
        <v>11</v>
      </c>
      <c r="B12">
        <v>141</v>
      </c>
      <c r="C12">
        <v>65</v>
      </c>
      <c r="D12">
        <v>206</v>
      </c>
      <c r="E12">
        <v>15126</v>
      </c>
      <c r="G12" s="6" t="s">
        <v>39</v>
      </c>
    </row>
    <row r="13" spans="1:15" x14ac:dyDescent="0.3">
      <c r="A13" s="1" t="s">
        <v>12</v>
      </c>
      <c r="B13">
        <f>ROUND(B6, 0)</f>
        <v>-3</v>
      </c>
      <c r="C13">
        <f>ROUND(C6, 0)</f>
        <v>-4</v>
      </c>
      <c r="D13">
        <f>ROUND(D6, 0)</f>
        <v>2</v>
      </c>
      <c r="E13">
        <f>ROUND(E6, 0)</f>
        <v>506</v>
      </c>
      <c r="G13" t="s">
        <v>24</v>
      </c>
      <c r="H13">
        <f>0.5*E11</f>
        <v>7816</v>
      </c>
    </row>
    <row r="14" spans="1:15" x14ac:dyDescent="0.3">
      <c r="A14" s="1" t="s">
        <v>17</v>
      </c>
      <c r="B14">
        <f>ROUND(B13*H3,0)</f>
        <v>-1350</v>
      </c>
      <c r="C14">
        <f>ROUND(C13*I3,0)</f>
        <v>-4280</v>
      </c>
      <c r="D14">
        <f>ROUND(D13*J3,0)</f>
        <v>1266</v>
      </c>
      <c r="E14">
        <f>ROUND(E13*K3,0)</f>
        <v>4767</v>
      </c>
      <c r="G14" t="s">
        <v>22</v>
      </c>
      <c r="H14">
        <f>'20250616'!H14+H13</f>
        <v>29475.34</v>
      </c>
    </row>
    <row r="15" spans="1:15" x14ac:dyDescent="0.3">
      <c r="G15" t="s">
        <v>30</v>
      </c>
      <c r="H15">
        <v>7</v>
      </c>
    </row>
    <row r="16" spans="1:15" x14ac:dyDescent="0.3">
      <c r="A16" s="4" t="s">
        <v>18</v>
      </c>
      <c r="B16">
        <v>1.8</v>
      </c>
      <c r="G16" t="s">
        <v>31</v>
      </c>
      <c r="H16">
        <f>'20250616'!H16+650+1370</f>
        <v>2652</v>
      </c>
    </row>
    <row r="17" spans="1:2" x14ac:dyDescent="0.3">
      <c r="A17" s="4" t="s">
        <v>19</v>
      </c>
      <c r="B17">
        <v>4.9400000000000004</v>
      </c>
    </row>
    <row r="18" spans="1:2" x14ac:dyDescent="0.3">
      <c r="A18" s="4" t="s">
        <v>29</v>
      </c>
      <c r="B18">
        <v>-30914</v>
      </c>
    </row>
  </sheetData>
  <phoneticPr fontId="2" type="noConversion"/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F3B1B-5205-4AE8-B04B-FE40FF6FDDF1}">
  <dimension ref="A1:E34"/>
  <sheetViews>
    <sheetView tabSelected="1" workbookViewId="0"/>
  </sheetViews>
  <sheetFormatPr defaultRowHeight="14.4" x14ac:dyDescent="0.3"/>
  <cols>
    <col min="1" max="1" width="14.5" style="13" customWidth="1"/>
    <col min="2" max="2" width="12.125" style="10" customWidth="1"/>
    <col min="3" max="16384" width="9" style="10"/>
  </cols>
  <sheetData>
    <row r="1" spans="1:5" s="11" customFormat="1" x14ac:dyDescent="0.3">
      <c r="A1" s="12" t="s">
        <v>47</v>
      </c>
      <c r="B1" s="11" t="s">
        <v>48</v>
      </c>
    </row>
    <row r="2" spans="1:5" x14ac:dyDescent="0.3">
      <c r="A2" s="10">
        <v>20221207</v>
      </c>
      <c r="B2" s="10" cm="1">
        <f t="array" aca="1" ref="B2" ca="1">ROUND(INDIRECT(A2&amp;"!N8")/100 + 1, 4)</f>
        <v>1.0147999999999999</v>
      </c>
    </row>
    <row r="3" spans="1:5" x14ac:dyDescent="0.3">
      <c r="A3" s="10">
        <v>20230109</v>
      </c>
      <c r="B3" s="10" cm="1">
        <f t="array" aca="1" ref="B3" ca="1">ROUND(INDIRECT(A3&amp;"!N8")/100 + 1, 4)</f>
        <v>0.99950000000000006</v>
      </c>
    </row>
    <row r="4" spans="1:5" x14ac:dyDescent="0.3">
      <c r="A4" s="10">
        <v>20230208</v>
      </c>
      <c r="B4" s="10" cm="1">
        <f t="array" aca="1" ref="B4" ca="1">ROUND(INDIRECT(A4&amp;"!N8")/100 + 1, 4)</f>
        <v>1.0521</v>
      </c>
    </row>
    <row r="5" spans="1:5" ht="15" x14ac:dyDescent="0.3">
      <c r="A5" s="10">
        <v>20230306</v>
      </c>
      <c r="B5" s="10" cm="1">
        <f t="array" aca="1" ref="B5" ca="1">ROUND(INDIRECT(A5&amp;"!N8")/100 + 1, 4)</f>
        <v>1.0588</v>
      </c>
      <c r="E5"/>
    </row>
    <row r="6" spans="1:5" x14ac:dyDescent="0.3">
      <c r="A6" s="10">
        <v>20230407</v>
      </c>
      <c r="B6" s="10" cm="1">
        <f t="array" aca="1" ref="B6" ca="1">ROUND(INDIRECT(A6&amp;"!N8")/100 + 1, 4)</f>
        <v>1.0307999999999999</v>
      </c>
    </row>
    <row r="7" spans="1:5" x14ac:dyDescent="0.3">
      <c r="A7" s="10">
        <v>20230508</v>
      </c>
      <c r="B7" s="10" cm="1">
        <f t="array" aca="1" ref="B7" ca="1">ROUND(INDIRECT(A7&amp;"!N8")/100 + 1, 4)</f>
        <v>1.0598000000000001</v>
      </c>
    </row>
    <row r="8" spans="1:5" x14ac:dyDescent="0.3">
      <c r="A8" s="10">
        <v>20230608</v>
      </c>
      <c r="B8" s="10" cm="1">
        <f t="array" aca="1" ref="B8" ca="1">ROUND(INDIRECT(A8&amp;"!N8")/100 + 1, 4)</f>
        <v>1.1140000000000001</v>
      </c>
    </row>
    <row r="9" spans="1:5" x14ac:dyDescent="0.3">
      <c r="A9" s="10">
        <v>20230707</v>
      </c>
      <c r="B9" s="10" cm="1">
        <f t="array" aca="1" ref="B9" ca="1">ROUND(INDIRECT(A9&amp;"!N8")/100 + 1, 4)</f>
        <v>1.1276999999999999</v>
      </c>
    </row>
    <row r="10" spans="1:5" x14ac:dyDescent="0.3">
      <c r="A10" s="10">
        <v>20230808</v>
      </c>
      <c r="B10" s="10" cm="1">
        <f t="array" aca="1" ref="B10" ca="1">ROUND(INDIRECT(A10&amp;"!O8")/100 + 1, 4)</f>
        <v>1.2063999999999999</v>
      </c>
    </row>
    <row r="11" spans="1:5" x14ac:dyDescent="0.3">
      <c r="A11" s="10">
        <v>20230907</v>
      </c>
      <c r="B11" s="10" cm="1">
        <f t="array" aca="1" ref="B11" ca="1">ROUND(INDIRECT(A11&amp;"!O8")/100 + 1, 4)</f>
        <v>1.2113</v>
      </c>
    </row>
    <row r="12" spans="1:5" x14ac:dyDescent="0.3">
      <c r="A12" s="10">
        <v>20231006</v>
      </c>
      <c r="B12" s="10" cm="1">
        <f t="array" aca="1" ref="B12" ca="1">ROUND(INDIRECT(A12&amp;"!O8")/100 + 1, 4)</f>
        <v>1.1438999999999999</v>
      </c>
    </row>
    <row r="13" spans="1:5" x14ac:dyDescent="0.3">
      <c r="A13" s="10">
        <v>20231107</v>
      </c>
      <c r="B13" s="10" cm="1">
        <f t="array" aca="1" ref="B13" ca="1">ROUND(INDIRECT(A13&amp;"!O8")/100 + 1, 4)</f>
        <v>1.0892999999999999</v>
      </c>
    </row>
    <row r="14" spans="1:5" x14ac:dyDescent="0.3">
      <c r="A14" s="10">
        <v>20231207</v>
      </c>
      <c r="B14" s="10" cm="1">
        <f t="array" aca="1" ref="B14" ca="1">ROUND(INDIRECT(A14&amp;"!O8")/100 + 1, 4)</f>
        <v>1.1372</v>
      </c>
    </row>
    <row r="15" spans="1:5" x14ac:dyDescent="0.3">
      <c r="A15" s="10">
        <v>20240109</v>
      </c>
      <c r="B15" s="10" cm="1">
        <f t="array" aca="1" ref="B15" ca="1">ROUND(INDIRECT(A15&amp;"!O8")/100 + 1, 4)</f>
        <v>1.1982999999999999</v>
      </c>
    </row>
    <row r="16" spans="1:5" x14ac:dyDescent="0.3">
      <c r="A16" s="10">
        <v>20240205</v>
      </c>
      <c r="B16" s="10" cm="1">
        <f t="array" aca="1" ref="B16" ca="1">ROUND(INDIRECT(A16&amp;"!O8")/100 + 1, 4)</f>
        <v>1.1359999999999999</v>
      </c>
    </row>
    <row r="17" spans="1:2" x14ac:dyDescent="0.3">
      <c r="A17" s="10">
        <v>20240314</v>
      </c>
      <c r="B17" s="10" cm="1">
        <f t="array" aca="1" ref="B17" ca="1">ROUND(INDIRECT(A17&amp;"!O8")/100 + 1, 4)</f>
        <v>1.1877</v>
      </c>
    </row>
    <row r="18" spans="1:2" x14ac:dyDescent="0.3">
      <c r="A18" s="10">
        <v>20240409</v>
      </c>
      <c r="B18" s="10" cm="1">
        <f t="array" aca="1" ref="B18" ca="1">ROUND(INDIRECT(A18&amp;"!O8")/100 + 1, 4)</f>
        <v>1.1747000000000001</v>
      </c>
    </row>
    <row r="19" spans="1:2" x14ac:dyDescent="0.3">
      <c r="A19" s="10">
        <v>20240507</v>
      </c>
      <c r="B19" s="10" cm="1">
        <f t="array" aca="1" ref="B19" ca="1">ROUND(INDIRECT(A19&amp;"!O8")/100 + 1, 4)</f>
        <v>1.1944999999999999</v>
      </c>
    </row>
    <row r="20" spans="1:2" x14ac:dyDescent="0.3">
      <c r="A20" s="10">
        <v>20240607</v>
      </c>
      <c r="B20" s="10" cm="1">
        <f t="array" aca="1" ref="B20" ca="1">ROUND(INDIRECT(A20&amp;"!O8")/100 + 1, 4)</f>
        <v>1.2667999999999999</v>
      </c>
    </row>
    <row r="21" spans="1:2" x14ac:dyDescent="0.3">
      <c r="A21" s="10">
        <v>20240708</v>
      </c>
      <c r="B21" s="10" cm="1">
        <f t="array" aca="1" ref="B21" ca="1">ROUND(INDIRECT(A21&amp;"!O8")/100 + 1, 4)</f>
        <v>1.3494999999999999</v>
      </c>
    </row>
    <row r="22" spans="1:2" x14ac:dyDescent="0.3">
      <c r="A22" s="10">
        <v>20240807</v>
      </c>
      <c r="B22" s="10" cm="1">
        <f t="array" aca="1" ref="B22" ca="1">ROUND(INDIRECT(A22&amp;"!O8")/100 + 1, 4)</f>
        <v>1.2291000000000001</v>
      </c>
    </row>
    <row r="23" spans="1:2" x14ac:dyDescent="0.3">
      <c r="A23" s="10">
        <v>20240909</v>
      </c>
      <c r="B23" s="10" cm="1">
        <f t="array" aca="1" ref="B23" ca="1">ROUND(INDIRECT(A23&amp;"!O8")/100 + 1, 4)</f>
        <v>1.2715000000000001</v>
      </c>
    </row>
    <row r="24" spans="1:2" x14ac:dyDescent="0.3">
      <c r="A24" s="10">
        <v>20241008</v>
      </c>
      <c r="B24" s="10" cm="1">
        <f t="array" aca="1" ref="B24" ca="1">ROUND(INDIRECT(A24&amp;"!O8")/100 + 1, 4)</f>
        <v>1.3048999999999999</v>
      </c>
    </row>
    <row r="25" spans="1:2" x14ac:dyDescent="0.3">
      <c r="A25" s="10">
        <v>20241107</v>
      </c>
      <c r="B25" s="10" cm="1">
        <f t="array" aca="1" ref="B25" ca="1">ROUND(INDIRECT(A25&amp;"!O8")/100 + 1, 4)</f>
        <v>1.3237000000000001</v>
      </c>
    </row>
    <row r="26" spans="1:2" x14ac:dyDescent="0.3">
      <c r="A26" s="10">
        <v>20241209</v>
      </c>
      <c r="B26" s="10" cm="1">
        <f t="array" aca="1" ref="B26" ca="1">ROUND(INDIRECT(A26&amp;"!O8")/100 + 1, 4)</f>
        <v>1.3159000000000001</v>
      </c>
    </row>
    <row r="27" spans="1:2" x14ac:dyDescent="0.3">
      <c r="A27" s="10">
        <v>20250106</v>
      </c>
      <c r="B27" s="10" cm="1">
        <f t="array" aca="1" ref="B27" ca="1">ROUND(INDIRECT(A27&amp;"!O8")/100 + 1, 4)</f>
        <v>1.3295999999999999</v>
      </c>
    </row>
    <row r="28" spans="1:2" x14ac:dyDescent="0.3">
      <c r="A28" s="10">
        <v>20250207</v>
      </c>
      <c r="B28" s="10" cm="1">
        <f t="array" aca="1" ref="B28" ca="1">ROUND(INDIRECT(A28&amp;"!O8")/100 + 1, 4)</f>
        <v>1.3379000000000001</v>
      </c>
    </row>
    <row r="29" spans="1:2" x14ac:dyDescent="0.3">
      <c r="A29" s="10">
        <v>20250307</v>
      </c>
      <c r="B29" s="10" cm="1">
        <f t="array" aca="1" ref="B29" ca="1">ROUND(INDIRECT(A29&amp;"!O8")/100 + 1, 4)</f>
        <v>1.3109</v>
      </c>
    </row>
    <row r="30" spans="1:2" x14ac:dyDescent="0.3">
      <c r="A30" s="10">
        <v>20250408</v>
      </c>
      <c r="B30" s="10" cm="1">
        <f t="array" aca="1" ref="B30" ca="1">ROUND(INDIRECT(A30&amp;"!O8")/100 + 1, 4)</f>
        <v>1.0732999999999999</v>
      </c>
    </row>
    <row r="31" spans="1:2" x14ac:dyDescent="0.3">
      <c r="A31" s="10">
        <v>20250507</v>
      </c>
      <c r="B31" s="10" cm="1">
        <f t="array" aca="1" ref="B31" ca="1">ROUND(INDIRECT(A31&amp;"!O8")/100 + 1, 4)</f>
        <v>1.2133</v>
      </c>
    </row>
    <row r="32" spans="1:2" x14ac:dyDescent="0.3">
      <c r="A32" s="10">
        <v>20250616</v>
      </c>
      <c r="B32" s="10" cm="1">
        <f t="array" aca="1" ref="B32" ca="1">ROUND(INDIRECT(A32&amp;"!O8")/100 + 1, 4)</f>
        <v>1.3615999999999999</v>
      </c>
    </row>
    <row r="33" spans="1:2" x14ac:dyDescent="0.3">
      <c r="A33" s="10">
        <v>20250708</v>
      </c>
      <c r="B33" s="10" cm="1">
        <f t="array" aca="1" ref="B33" ca="1">ROUND(INDIRECT(A33&amp;"!O8")/100 + 1, 4)</f>
        <v>1.3792</v>
      </c>
    </row>
    <row r="34" spans="1:2" x14ac:dyDescent="0.3">
      <c r="A34" s="14">
        <v>20250731</v>
      </c>
      <c r="B34" s="10">
        <f>ROUND('20250708'!O9 / 100 + 1, 4)</f>
        <v>1.4468000000000001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33</vt:i4>
      </vt:variant>
    </vt:vector>
  </HeadingPairs>
  <TitlesOfParts>
    <vt:vector size="33" baseType="lpstr">
      <vt:lpstr>20221207</vt:lpstr>
      <vt:lpstr>20230109</vt:lpstr>
      <vt:lpstr>20230208</vt:lpstr>
      <vt:lpstr>20230306</vt:lpstr>
      <vt:lpstr>20230407</vt:lpstr>
      <vt:lpstr>20230508</vt:lpstr>
      <vt:lpstr>20230608</vt:lpstr>
      <vt:lpstr>20230707</vt:lpstr>
      <vt:lpstr>20230808</vt:lpstr>
      <vt:lpstr>20230907</vt:lpstr>
      <vt:lpstr>20231006</vt:lpstr>
      <vt:lpstr>20231107</vt:lpstr>
      <vt:lpstr>20231207</vt:lpstr>
      <vt:lpstr>20240109</vt:lpstr>
      <vt:lpstr>20240205</vt:lpstr>
      <vt:lpstr>20240314</vt:lpstr>
      <vt:lpstr>20240409</vt:lpstr>
      <vt:lpstr>20240507</vt:lpstr>
      <vt:lpstr>20240607</vt:lpstr>
      <vt:lpstr>20240708</vt:lpstr>
      <vt:lpstr>20240807</vt:lpstr>
      <vt:lpstr>20240909</vt:lpstr>
      <vt:lpstr>20241008</vt:lpstr>
      <vt:lpstr>20241107</vt:lpstr>
      <vt:lpstr>20241209</vt:lpstr>
      <vt:lpstr>20250106</vt:lpstr>
      <vt:lpstr>20250207</vt:lpstr>
      <vt:lpstr>20250307</vt:lpstr>
      <vt:lpstr>20250408</vt:lpstr>
      <vt:lpstr>20250507</vt:lpstr>
      <vt:lpstr>20250616</vt:lpstr>
      <vt:lpstr>20250708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Shen, Ryan</cp:lastModifiedBy>
  <dcterms:created xsi:type="dcterms:W3CDTF">2022-12-03T19:06:26Z</dcterms:created>
  <dcterms:modified xsi:type="dcterms:W3CDTF">2025-09-27T21:21:07Z</dcterms:modified>
</cp:coreProperties>
</file>